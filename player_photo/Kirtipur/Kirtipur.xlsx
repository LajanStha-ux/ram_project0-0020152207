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shhome\Desktop\Basketball CW\Data\Kirtipur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2" l="1"/>
  <c r="D6" i="2"/>
  <c r="C6" i="2"/>
  <c r="J12" i="1"/>
  <c r="D12" i="1"/>
  <c r="C12" i="1"/>
  <c r="J4" i="2" l="1"/>
  <c r="D4" i="2"/>
  <c r="C4" i="2"/>
  <c r="C14" i="1" l="1"/>
  <c r="D14" i="1"/>
  <c r="J11" i="1"/>
  <c r="D11" i="1"/>
  <c r="C11" i="1"/>
  <c r="J3" i="2"/>
  <c r="D3" i="2"/>
  <c r="C3" i="2"/>
  <c r="J2" i="2" l="1"/>
  <c r="D2" i="2"/>
  <c r="C2" i="2"/>
  <c r="J6" i="1" l="1"/>
  <c r="J4" i="1"/>
  <c r="J3" i="1"/>
  <c r="J5" i="1"/>
  <c r="J10" i="1"/>
  <c r="J9" i="1"/>
  <c r="J8" i="1"/>
  <c r="J7" i="1"/>
  <c r="J13" i="1"/>
  <c r="J2" i="1"/>
  <c r="D6" i="1" l="1"/>
  <c r="D4" i="1"/>
  <c r="D3" i="1"/>
  <c r="D5" i="1"/>
  <c r="D10" i="1"/>
  <c r="D9" i="1"/>
  <c r="D8" i="1"/>
  <c r="D7" i="1"/>
  <c r="D13" i="1"/>
  <c r="C6" i="1"/>
  <c r="C4" i="1"/>
  <c r="C3" i="1"/>
  <c r="C5" i="1"/>
  <c r="C10" i="1"/>
  <c r="C9" i="1"/>
  <c r="C8" i="1"/>
  <c r="C7" i="1"/>
  <c r="C13" i="1"/>
  <c r="D2" i="1"/>
  <c r="C2" i="1"/>
</calcChain>
</file>

<file path=xl/sharedStrings.xml><?xml version="1.0" encoding="utf-8"?>
<sst xmlns="http://schemas.openxmlformats.org/spreadsheetml/2006/main" count="105" uniqueCount="46">
  <si>
    <t>Name</t>
  </si>
  <si>
    <t>Position</t>
  </si>
  <si>
    <t>DOB</t>
  </si>
  <si>
    <t>Height</t>
  </si>
  <si>
    <t>PG/SG</t>
  </si>
  <si>
    <t>SG</t>
  </si>
  <si>
    <t>C</t>
  </si>
  <si>
    <t>PF</t>
  </si>
  <si>
    <t>Picture</t>
  </si>
  <si>
    <t>First Name</t>
  </si>
  <si>
    <t>Last Name</t>
  </si>
  <si>
    <t>Team</t>
  </si>
  <si>
    <t>Team Logo</t>
  </si>
  <si>
    <t>Jersey</t>
  </si>
  <si>
    <t>PG</t>
  </si>
  <si>
    <t>5'11"</t>
  </si>
  <si>
    <t>5'9"</t>
  </si>
  <si>
    <t>6'2"</t>
  </si>
  <si>
    <t>SF</t>
  </si>
  <si>
    <t>5'10"</t>
  </si>
  <si>
    <t>5'6"</t>
  </si>
  <si>
    <t>5'8"</t>
  </si>
  <si>
    <t>6'0"</t>
  </si>
  <si>
    <t>G</t>
  </si>
  <si>
    <t>Kirtipur</t>
  </si>
  <si>
    <t>Kirtipur.png</t>
  </si>
  <si>
    <t>ANIL KHADGI</t>
  </si>
  <si>
    <t>SOMAN MAHARJAN</t>
  </si>
  <si>
    <t>WILLBERT VAUGHAN</t>
  </si>
  <si>
    <t>N/A</t>
  </si>
  <si>
    <t>6'5"</t>
  </si>
  <si>
    <t>PRASHANT MAHARJAN</t>
  </si>
  <si>
    <t>INAP MAHARJAN</t>
  </si>
  <si>
    <t>LUCKY MAHARJAN</t>
  </si>
  <si>
    <t>TUSHAR MAHARJAN</t>
  </si>
  <si>
    <t>ANJAL MAHARJAN</t>
  </si>
  <si>
    <t>PUJAN SHRESTHA</t>
  </si>
  <si>
    <t>NARESH MAHARJAN</t>
  </si>
  <si>
    <t>AASHISH THAPA MAGAR</t>
  </si>
  <si>
    <t>CYRUS THAPA MAGAR</t>
  </si>
  <si>
    <t>ANKIT MUNIKAR</t>
  </si>
  <si>
    <t>IMS Kirtipur</t>
  </si>
  <si>
    <t>Coach</t>
  </si>
  <si>
    <t>Krishna Maharjan</t>
  </si>
  <si>
    <t>6'1"</t>
  </si>
  <si>
    <t>IIMS Kirtipur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</si>
</sst>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1" fillId="0" borderId="0" xfId="0" applyFont="1" applyFill="1" applyBorder="1" applyAlignment="1">
      <alignment vertical="center" wrapText="1" readingOrder="1"/>
    </xf>
    <xf numFmtId="0" fontId="1" fillId="0" borderId="0" xfId="0" applyFont="1" applyFill="1" applyBorder="1" applyAlignment="1">
      <alignment horizontal="left" vertical="center" wrapText="1" indent="1" readingOrder="1"/>
    </xf>
    <xf numFmtId="14" fontId="1" fillId="0" borderId="0" xfId="0" applyNumberFormat="1" applyFont="1" applyFill="1" applyBorder="1" applyAlignment="1">
      <alignment horizontal="left" vertical="center" wrapText="1" indent="1" readingOrder="1"/>
    </xf>
    <xf numFmtId="0" fontId="0" fillId="0" borderId="0" xfId="0" applyFill="1"/>
    <xf numFmtId="0" fontId="2" fillId="0" borderId="0" xfId="0" applyFont="1" applyFill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vertical="center" wrapText="1" readingOrder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/>
    <xf numFmtId="0" fontId="2" fillId="0" borderId="0" xfId="0" applyFont="1" applyFill="1" applyBorder="1" applyAlignment="1">
      <alignment vertical="center" readingOrder="1"/>
    </xf>
    <xf numFmtId="0" fontId="0" fillId="0" borderId="0" xfId="0" applyBorder="1" applyAlignment="1"/>
    <xf numFmtId="0" fontId="1" fillId="0" borderId="0" xfId="0" applyFont="1" applyFill="1" applyBorder="1" applyAlignment="1">
      <alignment horizontal="left" vertical="center" readingOrder="1"/>
    </xf>
    <xf numFmtId="14" fontId="1" fillId="0" borderId="0" xfId="0" applyNumberFormat="1" applyFont="1" applyFill="1" applyBorder="1" applyAlignment="1">
      <alignment horizontal="left" vertical="center" readingOrder="1"/>
    </xf>
    <xf numFmtId="0" fontId="4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B20" sqref="B20"/>
    </sheetView>
  </sheetViews>
  <sheetFormatPr defaultRowHeight="14.25"/>
  <cols>
    <col min="1" max="1" width="9" style="7"/>
    <col min="2" max="2" width="25.125" style="7" customWidth="1"/>
    <col min="3" max="3" width="13.875" style="7" customWidth="1"/>
    <col min="4" max="4" width="12.5" style="7" customWidth="1"/>
    <col min="5" max="5" width="9.75" style="7" customWidth="1"/>
    <col min="6" max="6" width="11.875" style="7" bestFit="1" customWidth="1"/>
    <col min="7" max="7" width="16.375" style="7" customWidth="1"/>
    <col min="8" max="8" width="15.875" style="7" bestFit="1" customWidth="1"/>
    <col min="9" max="9" width="7" style="7" bestFit="1" customWidth="1"/>
    <col min="10" max="10" width="13" style="7" customWidth="1"/>
    <col min="11" max="16384" width="9" style="7"/>
  </cols>
  <sheetData>
    <row r="1" spans="1:10" ht="15">
      <c r="A1" s="10" t="s">
        <v>13</v>
      </c>
      <c r="B1" s="11" t="s">
        <v>0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</v>
      </c>
      <c r="H1" s="10" t="s">
        <v>2</v>
      </c>
      <c r="I1" s="9" t="s">
        <v>3</v>
      </c>
      <c r="J1" s="11" t="s">
        <v>8</v>
      </c>
    </row>
    <row r="2" spans="1:10">
      <c r="A2" s="5">
        <v>12</v>
      </c>
      <c r="B2" s="5" t="s">
        <v>26</v>
      </c>
      <c r="C2" s="2" t="str">
        <f>LEFT(B2,SEARCH(" ",B2)-1)</f>
        <v>ANIL</v>
      </c>
      <c r="D2" s="2" t="str">
        <f>RIGHT(B2,LEN(B2)-SEARCH(" ",B2))</f>
        <v>KHADGI</v>
      </c>
      <c r="E2" s="2" t="s">
        <v>45</v>
      </c>
      <c r="F2" s="2" t="s">
        <v>25</v>
      </c>
      <c r="G2" s="5" t="s">
        <v>18</v>
      </c>
      <c r="H2" s="6">
        <v>35081</v>
      </c>
      <c r="I2" s="5" t="s">
        <v>15</v>
      </c>
      <c r="J2" s="3" t="str">
        <f>A2&amp;".png"</f>
        <v>12.png</v>
      </c>
    </row>
    <row r="3" spans="1:10">
      <c r="A3" s="5">
        <v>17</v>
      </c>
      <c r="B3" s="5" t="s">
        <v>31</v>
      </c>
      <c r="C3" s="2" t="str">
        <f>LEFT(B3,SEARCH(" ",B3)-1)</f>
        <v>PRASHANT</v>
      </c>
      <c r="D3" s="2" t="str">
        <f>RIGHT(B3,LEN(B3)-SEARCH(" ",B3))</f>
        <v>MAHARJAN</v>
      </c>
      <c r="E3" s="2" t="s">
        <v>45</v>
      </c>
      <c r="F3" s="2" t="s">
        <v>25</v>
      </c>
      <c r="G3" s="5" t="s">
        <v>7</v>
      </c>
      <c r="H3" s="6">
        <v>37073</v>
      </c>
      <c r="I3" s="5" t="s">
        <v>22</v>
      </c>
      <c r="J3" s="3" t="str">
        <f>A3&amp;".png"</f>
        <v>17.png</v>
      </c>
    </row>
    <row r="4" spans="1:10">
      <c r="A4" s="5">
        <v>42</v>
      </c>
      <c r="B4" s="5" t="s">
        <v>28</v>
      </c>
      <c r="C4" s="2" t="str">
        <f>LEFT(B4,SEARCH(" ",B4)-1)</f>
        <v>WILLBERT</v>
      </c>
      <c r="D4" s="2" t="str">
        <f>RIGHT(B4,LEN(B4)-SEARCH(" ",B4))</f>
        <v>VAUGHAN</v>
      </c>
      <c r="E4" s="2" t="s">
        <v>45</v>
      </c>
      <c r="F4" s="2" t="s">
        <v>25</v>
      </c>
      <c r="G4" s="5" t="s">
        <v>23</v>
      </c>
      <c r="H4" s="5" t="s">
        <v>29</v>
      </c>
      <c r="I4" s="5" t="s">
        <v>30</v>
      </c>
      <c r="J4" s="3" t="str">
        <f>A4&amp;".png"</f>
        <v>42.png</v>
      </c>
    </row>
    <row r="5" spans="1:10">
      <c r="A5" s="5">
        <v>44</v>
      </c>
      <c r="B5" s="5" t="s">
        <v>32</v>
      </c>
      <c r="C5" s="2" t="str">
        <f>LEFT(B5,SEARCH(" ",B5)-1)</f>
        <v>INAP</v>
      </c>
      <c r="D5" s="2" t="str">
        <f>RIGHT(B5,LEN(B5)-SEARCH(" ",B5))</f>
        <v>MAHARJAN</v>
      </c>
      <c r="E5" s="2" t="s">
        <v>45</v>
      </c>
      <c r="F5" s="2" t="s">
        <v>25</v>
      </c>
      <c r="G5" s="5" t="s">
        <v>5</v>
      </c>
      <c r="H5" s="6">
        <v>37826</v>
      </c>
      <c r="I5" s="5" t="s">
        <v>21</v>
      </c>
      <c r="J5" s="3" t="str">
        <f>A5&amp;".png"</f>
        <v>44.png</v>
      </c>
    </row>
    <row r="6" spans="1:10">
      <c r="A6" s="5">
        <v>11</v>
      </c>
      <c r="B6" s="5" t="s">
        <v>27</v>
      </c>
      <c r="C6" s="2" t="str">
        <f>LEFT(B6,SEARCH(" ",B6)-1)</f>
        <v>SOMAN</v>
      </c>
      <c r="D6" s="2" t="str">
        <f>RIGHT(B6,LEN(B6)-SEARCH(" ",B6))</f>
        <v>MAHARJAN</v>
      </c>
      <c r="E6" s="2" t="s">
        <v>45</v>
      </c>
      <c r="F6" s="2" t="s">
        <v>25</v>
      </c>
      <c r="G6" s="5" t="s">
        <v>14</v>
      </c>
      <c r="H6" s="6">
        <v>35047</v>
      </c>
      <c r="I6" s="5" t="s">
        <v>16</v>
      </c>
      <c r="J6" s="3" t="str">
        <f>A6&amp;".png"</f>
        <v>11.png</v>
      </c>
    </row>
    <row r="7" spans="1:10">
      <c r="A7" s="5">
        <v>8</v>
      </c>
      <c r="B7" s="5" t="s">
        <v>36</v>
      </c>
      <c r="C7" s="2" t="str">
        <f>LEFT(B7,SEARCH(" ",B7)-1)</f>
        <v>PUJAN</v>
      </c>
      <c r="D7" s="2" t="str">
        <f>RIGHT(B7,LEN(B7)-SEARCH(" ",B7))</f>
        <v>SHRESTHA</v>
      </c>
      <c r="E7" s="2" t="s">
        <v>45</v>
      </c>
      <c r="F7" s="2" t="s">
        <v>25</v>
      </c>
      <c r="G7" s="5" t="s">
        <v>7</v>
      </c>
      <c r="H7" s="6">
        <v>38181</v>
      </c>
      <c r="I7" s="5" t="s">
        <v>15</v>
      </c>
      <c r="J7" s="3" t="str">
        <f>A7&amp;".png"</f>
        <v>8.png</v>
      </c>
    </row>
    <row r="8" spans="1:10">
      <c r="A8" s="5">
        <v>9</v>
      </c>
      <c r="B8" s="5" t="s">
        <v>35</v>
      </c>
      <c r="C8" s="2" t="str">
        <f>LEFT(B8,SEARCH(" ",B8)-1)</f>
        <v>ANJAL</v>
      </c>
      <c r="D8" s="2" t="str">
        <f>RIGHT(B8,LEN(B8)-SEARCH(" ",B8))</f>
        <v>MAHARJAN</v>
      </c>
      <c r="E8" s="2" t="s">
        <v>45</v>
      </c>
      <c r="F8" s="2" t="s">
        <v>25</v>
      </c>
      <c r="G8" s="5" t="s">
        <v>18</v>
      </c>
      <c r="H8" s="6">
        <v>36893</v>
      </c>
      <c r="I8" s="5" t="s">
        <v>15</v>
      </c>
      <c r="J8" s="3" t="str">
        <f>A8&amp;".png"</f>
        <v>9.png</v>
      </c>
    </row>
    <row r="9" spans="1:10">
      <c r="A9" s="5">
        <v>5</v>
      </c>
      <c r="B9" s="5" t="s">
        <v>34</v>
      </c>
      <c r="C9" s="2" t="str">
        <f>LEFT(B9,SEARCH(" ",B9)-1)</f>
        <v>TUSHAR</v>
      </c>
      <c r="D9" s="2" t="str">
        <f>RIGHT(B9,LEN(B9)-SEARCH(" ",B9))</f>
        <v>MAHARJAN</v>
      </c>
      <c r="E9" s="2" t="s">
        <v>45</v>
      </c>
      <c r="F9" s="2" t="s">
        <v>25</v>
      </c>
      <c r="G9" s="5" t="s">
        <v>18</v>
      </c>
      <c r="H9" s="6">
        <v>38734</v>
      </c>
      <c r="I9" s="5" t="s">
        <v>19</v>
      </c>
      <c r="J9" s="3" t="str">
        <f>A9&amp;".png"</f>
        <v>5.png</v>
      </c>
    </row>
    <row r="10" spans="1:10">
      <c r="A10" s="5">
        <v>6</v>
      </c>
      <c r="B10" s="5" t="s">
        <v>33</v>
      </c>
      <c r="C10" s="2" t="str">
        <f>LEFT(B10,SEARCH(" ",B10)-1)</f>
        <v>LUCKY</v>
      </c>
      <c r="D10" s="2" t="str">
        <f>RIGHT(B10,LEN(B10)-SEARCH(" ",B10))</f>
        <v>MAHARJAN</v>
      </c>
      <c r="E10" s="2" t="s">
        <v>45</v>
      </c>
      <c r="F10" s="2" t="s">
        <v>25</v>
      </c>
      <c r="G10" s="5" t="s">
        <v>5</v>
      </c>
      <c r="H10" s="6">
        <v>39798</v>
      </c>
      <c r="I10" s="5" t="s">
        <v>19</v>
      </c>
      <c r="J10" s="3" t="str">
        <f>A10&amp;".png"</f>
        <v>6.png</v>
      </c>
    </row>
    <row r="11" spans="1:10">
      <c r="A11" s="5">
        <v>26</v>
      </c>
      <c r="B11" s="18" t="s">
        <v>40</v>
      </c>
      <c r="C11" s="2" t="str">
        <f>LEFT(B11,SEARCH(" ",B11)-1)</f>
        <v>ANKIT</v>
      </c>
      <c r="D11" s="2" t="str">
        <f>RIGHT(B11,LEN(B11)-SEARCH(" ",B11))</f>
        <v>MUNIKAR</v>
      </c>
      <c r="E11" s="2" t="s">
        <v>45</v>
      </c>
      <c r="F11" s="2" t="s">
        <v>25</v>
      </c>
      <c r="G11" s="5" t="s">
        <v>6</v>
      </c>
      <c r="H11" s="16">
        <v>67124</v>
      </c>
      <c r="I11" s="5" t="s">
        <v>44</v>
      </c>
      <c r="J11" s="17" t="str">
        <f>A11&amp;".png"</f>
        <v>26.png</v>
      </c>
    </row>
    <row r="12" spans="1:10" ht="28.5">
      <c r="A12" s="5">
        <v>4</v>
      </c>
      <c r="B12" s="5" t="s">
        <v>38</v>
      </c>
      <c r="C12" s="2" t="str">
        <f>LEFT(B12,SEARCH(" ",B12)-1)</f>
        <v>AASHISH</v>
      </c>
      <c r="D12" s="2" t="str">
        <f>RIGHT(B12,LEN(B12)-SEARCH(" ",B12))</f>
        <v>THAPA MAGAR</v>
      </c>
      <c r="E12" s="2" t="s">
        <v>45</v>
      </c>
      <c r="F12" s="2" t="s">
        <v>25</v>
      </c>
      <c r="G12" s="5" t="s">
        <v>4</v>
      </c>
      <c r="H12" s="6">
        <v>39310</v>
      </c>
      <c r="I12" s="5" t="s">
        <v>20</v>
      </c>
      <c r="J12" s="3" t="str">
        <f>A12&amp;".png"</f>
        <v>4.png</v>
      </c>
    </row>
    <row r="13" spans="1:10">
      <c r="A13" s="5">
        <v>77</v>
      </c>
      <c r="B13" s="5" t="s">
        <v>39</v>
      </c>
      <c r="C13" s="2" t="str">
        <f>LEFT(B13,SEARCH(" ",B13)-1)</f>
        <v>CYRUS</v>
      </c>
      <c r="D13" s="2" t="str">
        <f>RIGHT(B13,LEN(B13)-SEARCH(" ",B13))</f>
        <v>THAPA MAGAR</v>
      </c>
      <c r="E13" s="2" t="s">
        <v>45</v>
      </c>
      <c r="F13" s="2" t="s">
        <v>25</v>
      </c>
      <c r="G13" s="5" t="s">
        <v>6</v>
      </c>
      <c r="H13" s="6">
        <v>39511</v>
      </c>
      <c r="I13" s="5" t="s">
        <v>17</v>
      </c>
      <c r="J13" s="3" t="str">
        <f>A13&amp;".png"</f>
        <v>77.png</v>
      </c>
    </row>
    <row r="14" spans="1:10">
      <c r="A14" s="7" t="s">
        <v>42</v>
      </c>
      <c r="B14" s="5" t="s">
        <v>43</v>
      </c>
      <c r="C14" s="2" t="str">
        <f>LEFT(B14,SEARCH(" ",B14)-1)</f>
        <v>Krishna</v>
      </c>
      <c r="D14" s="2" t="str">
        <f>RIGHT(B14,LEN(B14)-SEARCH(" ",B14))</f>
        <v>Maharjan</v>
      </c>
      <c r="E14" s="2" t="s">
        <v>45</v>
      </c>
      <c r="F14" s="2" t="s">
        <v>25</v>
      </c>
    </row>
    <row r="17" spans="1:10">
      <c r="A17" s="5"/>
      <c r="B17" s="5"/>
      <c r="C17" s="2"/>
      <c r="D17" s="2"/>
      <c r="E17" s="2"/>
      <c r="F17" s="2"/>
      <c r="G17" s="5"/>
      <c r="H17" s="6"/>
      <c r="I17" s="5"/>
      <c r="J17" s="3"/>
    </row>
    <row r="19" spans="1:10" ht="15">
      <c r="A19" s="8"/>
      <c r="B19" s="8"/>
      <c r="C19" s="8"/>
      <c r="D19" s="8"/>
      <c r="E19" s="8"/>
      <c r="F19" s="9"/>
    </row>
    <row r="21" spans="1:10" ht="15">
      <c r="A21" s="8"/>
      <c r="B21" s="5"/>
      <c r="C21" s="5"/>
      <c r="D21" s="6"/>
      <c r="E21" s="5"/>
      <c r="F21" s="4"/>
    </row>
    <row r="22" spans="1:10" ht="15">
      <c r="A22" s="8"/>
      <c r="B22" s="5"/>
      <c r="C22" s="5"/>
      <c r="D22" s="5"/>
      <c r="E22" s="5"/>
      <c r="F22" s="4"/>
    </row>
    <row r="23" spans="1:10" ht="15">
      <c r="A23" s="8"/>
      <c r="B23" s="5"/>
      <c r="C23" s="5"/>
      <c r="D23" s="6"/>
      <c r="E23" s="5"/>
      <c r="F23" s="4"/>
    </row>
    <row r="24" spans="1:10" ht="15">
      <c r="A24" s="8"/>
      <c r="B24" s="5"/>
      <c r="C24" s="5"/>
      <c r="D24" s="6"/>
      <c r="E24" s="5"/>
      <c r="F24" s="4"/>
    </row>
    <row r="25" spans="1:10" ht="15">
      <c r="A25" s="8"/>
      <c r="B25" s="5"/>
      <c r="C25" s="5"/>
      <c r="D25" s="6"/>
      <c r="E25" s="5"/>
      <c r="F25" s="4"/>
    </row>
    <row r="26" spans="1:10" ht="15">
      <c r="A26" s="8"/>
      <c r="B26" s="5"/>
      <c r="C26" s="5"/>
      <c r="D26" s="6"/>
      <c r="E26" s="5"/>
      <c r="F26" s="4"/>
    </row>
    <row r="27" spans="1:10" ht="15">
      <c r="A27" s="8"/>
      <c r="B27" s="5"/>
      <c r="C27" s="5"/>
      <c r="D27" s="6"/>
      <c r="E27" s="5"/>
      <c r="F27" s="4"/>
    </row>
    <row r="29" spans="1:10" ht="15">
      <c r="A29" s="8"/>
      <c r="B29" s="5"/>
      <c r="C29" s="5"/>
      <c r="D29" s="5"/>
      <c r="E29" s="5"/>
      <c r="F29" s="4"/>
    </row>
    <row r="30" spans="1:10" ht="15">
      <c r="A30" s="8"/>
      <c r="B30" s="5"/>
      <c r="C30" s="5"/>
      <c r="D30" s="6"/>
      <c r="E30" s="5"/>
      <c r="F30" s="4"/>
    </row>
    <row r="31" spans="1:10" ht="15">
      <c r="A31" s="8"/>
      <c r="B31" s="5"/>
      <c r="C31" s="5"/>
      <c r="D31" s="6"/>
      <c r="E31" s="5"/>
      <c r="F3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6" sqref="A6:XFD6"/>
    </sheetView>
  </sheetViews>
  <sheetFormatPr defaultRowHeight="14.25"/>
  <cols>
    <col min="2" max="2" width="17.125" bestFit="1" customWidth="1"/>
    <col min="3" max="4" width="10.375" bestFit="1" customWidth="1"/>
    <col min="5" max="5" width="6.625" bestFit="1" customWidth="1"/>
    <col min="6" max="6" width="10.75" bestFit="1" customWidth="1"/>
    <col min="8" max="8" width="9.875" bestFit="1" customWidth="1"/>
  </cols>
  <sheetData>
    <row r="1" spans="1:10" ht="15">
      <c r="A1" s="10" t="s">
        <v>13</v>
      </c>
      <c r="B1" s="12" t="s">
        <v>0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</v>
      </c>
      <c r="H1" s="10" t="s">
        <v>2</v>
      </c>
      <c r="I1" s="13" t="s">
        <v>3</v>
      </c>
      <c r="J1" s="12" t="s">
        <v>8</v>
      </c>
    </row>
    <row r="2" spans="1:10">
      <c r="A2" s="14"/>
      <c r="B2" s="15" t="s">
        <v>40</v>
      </c>
      <c r="C2" s="2" t="str">
        <f t="shared" ref="C2" si="0">LEFT(B2,SEARCH(" ",B2)-1)</f>
        <v>ANKIT</v>
      </c>
      <c r="D2" s="2" t="str">
        <f t="shared" ref="D2" si="1">RIGHT(B2,LEN(B2)-SEARCH(" ",B2))</f>
        <v>MUNIKAR</v>
      </c>
      <c r="E2" s="2" t="s">
        <v>24</v>
      </c>
      <c r="F2" s="2" t="s">
        <v>25</v>
      </c>
      <c r="G2" s="14"/>
      <c r="H2" s="16">
        <v>67124</v>
      </c>
      <c r="I2" s="14"/>
      <c r="J2" s="17" t="str">
        <f t="shared" ref="J2" si="2">A2&amp;".png"</f>
        <v>.png</v>
      </c>
    </row>
    <row r="3" spans="1:10" s="7" customFormat="1" ht="28.5">
      <c r="A3" s="5">
        <v>23</v>
      </c>
      <c r="B3" s="5" t="s">
        <v>37</v>
      </c>
      <c r="C3" s="2" t="str">
        <f>LEFT(B3,SEARCH(" ",B3)-1)</f>
        <v>NARESH</v>
      </c>
      <c r="D3" s="2" t="str">
        <f>RIGHT(B3,LEN(B3)-SEARCH(" ",B3))</f>
        <v>MAHARJAN</v>
      </c>
      <c r="E3" s="1" t="s">
        <v>41</v>
      </c>
      <c r="F3" s="2" t="s">
        <v>25</v>
      </c>
      <c r="G3" s="5" t="s">
        <v>14</v>
      </c>
      <c r="H3" s="5" t="s">
        <v>29</v>
      </c>
      <c r="I3" s="5" t="s">
        <v>16</v>
      </c>
      <c r="J3" s="3" t="str">
        <f>A3&amp;".png"</f>
        <v>23.png</v>
      </c>
    </row>
    <row r="4" spans="1:10" s="7" customFormat="1" ht="28.5">
      <c r="A4" s="5">
        <v>4</v>
      </c>
      <c r="B4" s="5" t="s">
        <v>38</v>
      </c>
      <c r="C4" s="2" t="str">
        <f>LEFT(B4,SEARCH(" ",B4)-1)</f>
        <v>AASHISH</v>
      </c>
      <c r="D4" s="2" t="str">
        <f>RIGHT(B4,LEN(B4)-SEARCH(" ",B4))</f>
        <v>THAPA MAGAR</v>
      </c>
      <c r="E4" s="2" t="s">
        <v>45</v>
      </c>
      <c r="F4" s="2" t="s">
        <v>25</v>
      </c>
      <c r="G4" s="5" t="s">
        <v>4</v>
      </c>
      <c r="H4" s="6">
        <v>39310</v>
      </c>
      <c r="I4" s="5" t="s">
        <v>20</v>
      </c>
      <c r="J4" s="3" t="str">
        <f>A4&amp;".png"</f>
        <v>4.png</v>
      </c>
    </row>
    <row r="5" spans="1:10">
      <c r="A5">
        <v>10</v>
      </c>
      <c r="B5" s="15"/>
      <c r="C5" s="2"/>
      <c r="D5" s="2"/>
      <c r="E5" s="2"/>
      <c r="F5" s="2"/>
      <c r="J5" s="17"/>
    </row>
    <row r="6" spans="1:10" s="7" customFormat="1">
      <c r="A6" s="5">
        <v>23</v>
      </c>
      <c r="B6" s="5" t="s">
        <v>37</v>
      </c>
      <c r="C6" s="2" t="str">
        <f>LEFT(B6,SEARCH(" ",B6)-1)</f>
        <v>NARESH</v>
      </c>
      <c r="D6" s="2" t="str">
        <f>RIGHT(B6,LEN(B6)-SEARCH(" ",B6))</f>
        <v>MAHARJAN</v>
      </c>
      <c r="E6" s="1" t="s">
        <v>41</v>
      </c>
      <c r="F6" s="2" t="s">
        <v>25</v>
      </c>
      <c r="G6" s="5" t="s">
        <v>14</v>
      </c>
      <c r="H6" s="5" t="s">
        <v>29</v>
      </c>
      <c r="I6" s="5" t="s">
        <v>16</v>
      </c>
      <c r="J6" s="3" t="str">
        <f>A6&amp;".png"</f>
        <v>23.png</v>
      </c>
    </row>
    <row r="7" spans="1:10">
      <c r="B7" s="15"/>
      <c r="C7" s="2"/>
      <c r="D7" s="2"/>
      <c r="E7" s="2"/>
      <c r="F7" s="2"/>
      <c r="J7" s="17"/>
    </row>
    <row r="8" spans="1:10">
      <c r="B8" s="15"/>
      <c r="C8" s="2"/>
      <c r="D8" s="2"/>
      <c r="E8" s="2"/>
      <c r="F8" s="2"/>
      <c r="J8" s="17"/>
    </row>
    <row r="9" spans="1:10">
      <c r="B9" s="15"/>
      <c r="C9" s="2"/>
      <c r="D9" s="2"/>
      <c r="E9" s="2"/>
      <c r="F9" s="2"/>
      <c r="J9" s="17"/>
    </row>
    <row r="10" spans="1:10">
      <c r="B10" s="15"/>
      <c r="C10" s="2"/>
      <c r="D10" s="2"/>
      <c r="E10" s="2"/>
      <c r="F10" s="2"/>
      <c r="J10" s="17"/>
    </row>
    <row r="11" spans="1:10">
      <c r="C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Thapa</dc:creator>
  <cp:lastModifiedBy>Dishhome</cp:lastModifiedBy>
  <dcterms:created xsi:type="dcterms:W3CDTF">2026-03-09T06:55:49Z</dcterms:created>
  <dcterms:modified xsi:type="dcterms:W3CDTF">2026-03-16T15:33:11Z</dcterms:modified>
</cp:coreProperties>
</file>