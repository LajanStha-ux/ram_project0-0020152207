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Playbox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2" l="1"/>
  <c r="D8" i="2"/>
  <c r="C8" i="2"/>
  <c r="J7" i="2"/>
  <c r="D7" i="2"/>
  <c r="C7" i="2"/>
  <c r="J10" i="1"/>
  <c r="D10" i="1"/>
  <c r="C10" i="1"/>
  <c r="J12" i="1"/>
  <c r="D12" i="1"/>
  <c r="C12" i="1"/>
  <c r="J6" i="2" l="1"/>
  <c r="D6" i="2"/>
  <c r="C6" i="2"/>
  <c r="J5" i="2"/>
  <c r="D5" i="2"/>
  <c r="C5" i="2"/>
  <c r="J11" i="1"/>
  <c r="D11" i="1"/>
  <c r="C11" i="1"/>
  <c r="J13" i="1"/>
  <c r="D13" i="1"/>
  <c r="C13" i="1"/>
  <c r="J2" i="2" l="1"/>
  <c r="J3" i="2"/>
  <c r="J4" i="2"/>
  <c r="D2" i="2"/>
  <c r="D3" i="2"/>
  <c r="D4" i="2"/>
  <c r="C2" i="2"/>
  <c r="C3" i="2"/>
  <c r="C4" i="2"/>
  <c r="D8" i="1"/>
  <c r="C8" i="1"/>
  <c r="C14" i="1" l="1"/>
  <c r="D14" i="1"/>
  <c r="J8" i="1" l="1"/>
  <c r="J3" i="1" l="1"/>
  <c r="J9" i="1"/>
  <c r="J7" i="1"/>
  <c r="J5" i="1"/>
  <c r="J4" i="1"/>
  <c r="J2" i="1"/>
  <c r="J6" i="1"/>
  <c r="D2" i="1" l="1"/>
  <c r="C2" i="1"/>
  <c r="D3" i="1" l="1"/>
  <c r="D9" i="1"/>
  <c r="D7" i="1"/>
  <c r="D5" i="1"/>
  <c r="D4" i="1"/>
  <c r="C3" i="1"/>
  <c r="C9" i="1"/>
  <c r="C7" i="1"/>
  <c r="C5" i="1"/>
  <c r="C4" i="1"/>
  <c r="D6" i="1"/>
  <c r="C6" i="1"/>
</calcChain>
</file>

<file path=xl/sharedStrings.xml><?xml version="1.0" encoding="utf-8"?>
<sst xmlns="http://schemas.openxmlformats.org/spreadsheetml/2006/main" count="110" uniqueCount="46">
  <si>
    <t>Name</t>
  </si>
  <si>
    <t>Position</t>
  </si>
  <si>
    <t>DOB</t>
  </si>
  <si>
    <t>Height</t>
  </si>
  <si>
    <t>SG</t>
  </si>
  <si>
    <t>C</t>
  </si>
  <si>
    <t>Picture</t>
  </si>
  <si>
    <t>First Name</t>
  </si>
  <si>
    <t>Last Name</t>
  </si>
  <si>
    <t>Team</t>
  </si>
  <si>
    <t>Team Logo</t>
  </si>
  <si>
    <t>Jersey</t>
  </si>
  <si>
    <t>PG</t>
  </si>
  <si>
    <t>SF</t>
  </si>
  <si>
    <t>PF</t>
  </si>
  <si>
    <t>Puskal Chhantyal</t>
  </si>
  <si>
    <t>Sudip Karki</t>
  </si>
  <si>
    <t>Abhishek Pachkoti</t>
  </si>
  <si>
    <t>Mukace Bhitrikoti</t>
  </si>
  <si>
    <t>Ashutosh Gurung</t>
  </si>
  <si>
    <t>Spandan Pradhanaga</t>
  </si>
  <si>
    <t>Karma Jigme Dhakpa Gurung</t>
  </si>
  <si>
    <t>Sagol Baruwal</t>
  </si>
  <si>
    <t>Sujal Khatri</t>
  </si>
  <si>
    <t>Avishek Karki</t>
  </si>
  <si>
    <t>Aang Phurba Sherpa</t>
  </si>
  <si>
    <t>PG/SG</t>
  </si>
  <si>
    <t>5'8</t>
  </si>
  <si>
    <t>6'1</t>
  </si>
  <si>
    <t>Playbox</t>
  </si>
  <si>
    <t>Playbox.png</t>
  </si>
  <si>
    <t>Pranup Syangbo</t>
  </si>
  <si>
    <t>Bipan Maharjan</t>
  </si>
  <si>
    <t>Sahil Khadka</t>
  </si>
  <si>
    <t>Sulap Gurung</t>
  </si>
  <si>
    <t>Playbox Arena</t>
  </si>
  <si>
    <t>Coach</t>
  </si>
  <si>
    <t>5'9"</t>
  </si>
  <si>
    <t>6'3"</t>
  </si>
  <si>
    <t>6'</t>
  </si>
  <si>
    <t>6'4"</t>
  </si>
  <si>
    <t>6'1"</t>
  </si>
  <si>
    <t>5'8"</t>
  </si>
  <si>
    <t>5'1"</t>
  </si>
  <si>
    <t>5'11"</t>
  </si>
  <si>
    <t>Biku Maharjan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</si>
</sst>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212529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2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14" fontId="2" fillId="0" borderId="0" xfId="0" applyNumberFormat="1" applyFont="1" applyBorder="1" applyAlignment="1">
      <alignment horizontal="left" vertical="center" wrapText="1" indent="1" readingOrder="1"/>
    </xf>
    <xf numFmtId="0" fontId="4" fillId="0" borderId="0" xfId="0" applyFont="1" applyFill="1" applyBorder="1"/>
    <xf numFmtId="0" fontId="3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14" fontId="6" fillId="0" borderId="0" xfId="0" applyNumberFormat="1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 readingOrder="1"/>
    </xf>
    <xf numFmtId="0" fontId="0" fillId="0" borderId="0" xfId="0" applyFill="1" applyBorder="1"/>
    <xf numFmtId="0" fontId="0" fillId="0" borderId="0" xfId="0" applyFill="1"/>
    <xf numFmtId="0" fontId="1" fillId="0" borderId="0" xfId="0" applyFont="1" applyBorder="1" applyAlignment="1"/>
    <xf numFmtId="0" fontId="3" fillId="0" borderId="0" xfId="0" applyFont="1" applyBorder="1" applyAlignment="1">
      <alignment vertical="center" readingOrder="1"/>
    </xf>
    <xf numFmtId="0" fontId="5" fillId="0" borderId="0" xfId="0" applyFont="1" applyFill="1" applyBorder="1" applyAlignment="1"/>
    <xf numFmtId="0" fontId="0" fillId="0" borderId="0" xfId="0" applyAlignment="1"/>
    <xf numFmtId="0" fontId="9" fillId="0" borderId="0" xfId="0" applyFont="1" applyBorder="1" applyAlignment="1">
      <alignment horizontal="center"/>
    </xf>
    <xf numFmtId="0" fontId="0" fillId="0" borderId="0" xfId="0" applyBorder="1" applyAlignment="1"/>
    <xf numFmtId="14" fontId="10" fillId="0" borderId="0" xfId="0" applyNumberFormat="1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0" fillId="0" borderId="0" xfId="0" applyBorder="1"/>
    <xf numFmtId="0" fontId="9" fillId="0" borderId="0" xfId="0" applyFont="1" applyBorder="1" applyAlignment="1">
      <alignment horizontal="center" wrapText="1"/>
    </xf>
    <xf numFmtId="164" fontId="11" fillId="0" borderId="0" xfId="1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B7" sqref="B7"/>
    </sheetView>
  </sheetViews>
  <sheetFormatPr defaultRowHeight="14.25"/>
  <cols>
    <col min="2" max="2" width="24.75" bestFit="1" customWidth="1"/>
    <col min="3" max="3" width="14.5" bestFit="1" customWidth="1"/>
    <col min="4" max="4" width="20.875" bestFit="1" customWidth="1"/>
    <col min="5" max="5" width="13.875" bestFit="1" customWidth="1"/>
    <col min="6" max="6" width="11.875" bestFit="1" customWidth="1"/>
    <col min="7" max="7" width="16.375" customWidth="1"/>
    <col min="8" max="8" width="15.875" bestFit="1" customWidth="1"/>
    <col min="9" max="9" width="6.75" bestFit="1" customWidth="1"/>
    <col min="10" max="10" width="13" customWidth="1"/>
  </cols>
  <sheetData>
    <row r="1" spans="1:10" ht="15.75">
      <c r="A1" s="11" t="s">
        <v>11</v>
      </c>
      <c r="B1" s="12" t="s">
        <v>0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</v>
      </c>
      <c r="H1" s="11" t="s">
        <v>2</v>
      </c>
      <c r="I1" s="7" t="s">
        <v>3</v>
      </c>
      <c r="J1" s="12" t="s">
        <v>6</v>
      </c>
    </row>
    <row r="2" spans="1:10" s="16" customFormat="1" ht="15">
      <c r="A2" s="10">
        <v>1</v>
      </c>
      <c r="B2" s="13" t="s">
        <v>25</v>
      </c>
      <c r="C2" s="1" t="str">
        <f>LEFT(B2,SEARCH(" ",B2)-1)</f>
        <v>Aang</v>
      </c>
      <c r="D2" s="1" t="str">
        <f>RIGHT(B2,LEN(B2)-SEARCH(" ",B2))</f>
        <v>Phurba Sherpa</v>
      </c>
      <c r="E2" s="1" t="s">
        <v>35</v>
      </c>
      <c r="F2" s="1" t="s">
        <v>30</v>
      </c>
      <c r="G2" s="10" t="s">
        <v>26</v>
      </c>
      <c r="H2" s="9"/>
      <c r="I2" s="10" t="s">
        <v>37</v>
      </c>
      <c r="J2" s="2" t="str">
        <f>A2&amp;".png"</f>
        <v>1.png</v>
      </c>
    </row>
    <row r="3" spans="1:10" s="16" customFormat="1" ht="15">
      <c r="A3" s="10">
        <v>2</v>
      </c>
      <c r="B3" s="13" t="s">
        <v>16</v>
      </c>
      <c r="C3" s="1" t="str">
        <f>LEFT(B3,SEARCH(" ",B3)-1)</f>
        <v>Sudip</v>
      </c>
      <c r="D3" s="1" t="str">
        <f>RIGHT(B3,LEN(B3)-SEARCH(" ",B3))</f>
        <v>Karki</v>
      </c>
      <c r="E3" s="1" t="s">
        <v>35</v>
      </c>
      <c r="F3" s="1" t="s">
        <v>30</v>
      </c>
      <c r="G3" s="10" t="s">
        <v>14</v>
      </c>
      <c r="H3" s="9"/>
      <c r="I3" s="10" t="s">
        <v>44</v>
      </c>
      <c r="J3" s="2" t="str">
        <f>A3&amp;".png"</f>
        <v>2.png</v>
      </c>
    </row>
    <row r="4" spans="1:10" s="16" customFormat="1" ht="15">
      <c r="A4" s="10">
        <v>3</v>
      </c>
      <c r="B4" s="13" t="s">
        <v>22</v>
      </c>
      <c r="C4" s="1" t="str">
        <f>LEFT(B4,SEARCH(" ",B4)-1)</f>
        <v>Sagol</v>
      </c>
      <c r="D4" s="1" t="str">
        <f>RIGHT(B4,LEN(B4)-SEARCH(" ",B4))</f>
        <v>Baruwal</v>
      </c>
      <c r="E4" s="1" t="s">
        <v>35</v>
      </c>
      <c r="F4" s="1" t="s">
        <v>30</v>
      </c>
      <c r="G4" s="10" t="s">
        <v>14</v>
      </c>
      <c r="H4" s="9"/>
      <c r="I4" s="10" t="s">
        <v>41</v>
      </c>
      <c r="J4" s="2" t="str">
        <f>A4&amp;".png"</f>
        <v>3.png</v>
      </c>
    </row>
    <row r="5" spans="1:10" s="16" customFormat="1" ht="15">
      <c r="A5" s="10">
        <v>8</v>
      </c>
      <c r="B5" s="13" t="s">
        <v>20</v>
      </c>
      <c r="C5" s="1" t="str">
        <f>LEFT(B5,SEARCH(" ",B5)-1)</f>
        <v>Spandan</v>
      </c>
      <c r="D5" s="1" t="str">
        <f>RIGHT(B5,LEN(B5)-SEARCH(" ",B5))</f>
        <v>Pradhanaga</v>
      </c>
      <c r="E5" s="1" t="s">
        <v>35</v>
      </c>
      <c r="F5" s="1" t="s">
        <v>30</v>
      </c>
      <c r="G5" s="10" t="s">
        <v>13</v>
      </c>
      <c r="H5" s="9"/>
      <c r="I5" s="10" t="s">
        <v>41</v>
      </c>
      <c r="J5" s="2" t="str">
        <f>A5&amp;".png"</f>
        <v>8.png</v>
      </c>
    </row>
    <row r="6" spans="1:10" s="16" customFormat="1" ht="15">
      <c r="A6" s="10">
        <v>30</v>
      </c>
      <c r="B6" s="13" t="s">
        <v>15</v>
      </c>
      <c r="C6" s="1" t="str">
        <f>LEFT(B6,SEARCH(" ",B6)-1)</f>
        <v>Puskal</v>
      </c>
      <c r="D6" s="1" t="str">
        <f>RIGHT(B6,LEN(B6)-SEARCH(" ",B6))</f>
        <v>Chhantyal</v>
      </c>
      <c r="E6" s="1" t="s">
        <v>35</v>
      </c>
      <c r="F6" s="1" t="s">
        <v>30</v>
      </c>
      <c r="G6" s="10" t="s">
        <v>4</v>
      </c>
      <c r="H6" s="9"/>
      <c r="I6" s="10" t="s">
        <v>43</v>
      </c>
      <c r="J6" s="2" t="str">
        <f>A6&amp;".png"</f>
        <v>30.png</v>
      </c>
    </row>
    <row r="7" spans="1:10" ht="15">
      <c r="A7" s="10">
        <v>6</v>
      </c>
      <c r="B7" s="13" t="s">
        <v>18</v>
      </c>
      <c r="C7" s="1" t="str">
        <f>LEFT(B7,SEARCH(" ",B7)-1)</f>
        <v>Mukace</v>
      </c>
      <c r="D7" s="1" t="str">
        <f>RIGHT(B7,LEN(B7)-SEARCH(" ",B7))</f>
        <v>Bhitrikoti</v>
      </c>
      <c r="E7" s="1" t="s">
        <v>35</v>
      </c>
      <c r="F7" s="1" t="s">
        <v>30</v>
      </c>
      <c r="G7" s="10" t="s">
        <v>12</v>
      </c>
      <c r="H7" s="9"/>
      <c r="I7" s="10" t="s">
        <v>42</v>
      </c>
      <c r="J7" s="2" t="str">
        <f>A7&amp;".png"</f>
        <v>6.png</v>
      </c>
    </row>
    <row r="8" spans="1:10" ht="15">
      <c r="A8" s="10">
        <v>11</v>
      </c>
      <c r="B8" s="13" t="s">
        <v>31</v>
      </c>
      <c r="C8" s="1" t="str">
        <f>LEFT(B8,SEARCH(" ",B8)-1)</f>
        <v>Pranup</v>
      </c>
      <c r="D8" s="1" t="str">
        <f>RIGHT(B8,LEN(B8)-SEARCH(" ",B8))</f>
        <v>Syangbo</v>
      </c>
      <c r="E8" s="1" t="s">
        <v>35</v>
      </c>
      <c r="F8" s="1" t="s">
        <v>30</v>
      </c>
      <c r="G8" s="10" t="s">
        <v>13</v>
      </c>
      <c r="H8" s="14"/>
      <c r="I8" s="15"/>
      <c r="J8" s="2" t="str">
        <f>A8&amp;".png"</f>
        <v>11.png</v>
      </c>
    </row>
    <row r="9" spans="1:10" ht="15">
      <c r="A9" s="10">
        <v>12</v>
      </c>
      <c r="B9" s="13" t="s">
        <v>17</v>
      </c>
      <c r="C9" s="1" t="str">
        <f>LEFT(B9,SEARCH(" ",B9)-1)</f>
        <v>Abhishek</v>
      </c>
      <c r="D9" s="1" t="str">
        <f>RIGHT(B9,LEN(B9)-SEARCH(" ",B9))</f>
        <v>Pachkoti</v>
      </c>
      <c r="E9" s="1" t="s">
        <v>35</v>
      </c>
      <c r="F9" s="1" t="s">
        <v>30</v>
      </c>
      <c r="G9" s="10" t="s">
        <v>12</v>
      </c>
      <c r="H9" s="9"/>
      <c r="I9" s="10" t="s">
        <v>37</v>
      </c>
      <c r="J9" s="2" t="str">
        <f>A9&amp;".png"</f>
        <v>12.png</v>
      </c>
    </row>
    <row r="10" spans="1:10" ht="18.75">
      <c r="A10" s="21">
        <v>36</v>
      </c>
      <c r="B10" s="21" t="s">
        <v>34</v>
      </c>
      <c r="C10" s="1" t="str">
        <f>LEFT(B10,SEARCH(" ",B10)-1)</f>
        <v>Sulap</v>
      </c>
      <c r="D10" s="1" t="str">
        <f>RIGHT(B10,LEN(B10)-SEARCH(" ",B10))</f>
        <v>Gurung</v>
      </c>
      <c r="E10" s="1" t="s">
        <v>29</v>
      </c>
      <c r="F10" s="1" t="s">
        <v>30</v>
      </c>
      <c r="G10" s="22"/>
      <c r="H10" s="23">
        <v>39685</v>
      </c>
      <c r="I10" s="22"/>
      <c r="J10" s="19" t="str">
        <f>A10&amp;".png"</f>
        <v>36.png</v>
      </c>
    </row>
    <row r="11" spans="1:10" ht="18.75">
      <c r="A11" s="21">
        <v>20</v>
      </c>
      <c r="B11" s="21" t="s">
        <v>33</v>
      </c>
      <c r="C11" s="1" t="str">
        <f>LEFT(B11,SEARCH(" ",B11)-1)</f>
        <v>Sahil</v>
      </c>
      <c r="D11" s="1" t="str">
        <f>RIGHT(B11,LEN(B11)-SEARCH(" ",B11))</f>
        <v>Khadka</v>
      </c>
      <c r="E11" s="1" t="s">
        <v>35</v>
      </c>
      <c r="F11" s="1" t="s">
        <v>30</v>
      </c>
      <c r="G11" s="10" t="s">
        <v>5</v>
      </c>
      <c r="H11" s="23">
        <v>37833</v>
      </c>
      <c r="I11" s="10" t="s">
        <v>38</v>
      </c>
      <c r="J11" s="19" t="str">
        <f>A11&amp;".png"</f>
        <v>20.png</v>
      </c>
    </row>
    <row r="12" spans="1:10" s="6" customFormat="1" ht="15">
      <c r="A12" s="10">
        <v>77</v>
      </c>
      <c r="B12" s="13" t="s">
        <v>19</v>
      </c>
      <c r="C12" s="1" t="str">
        <f>LEFT(B12,SEARCH(" ",B12)-1)</f>
        <v>Ashutosh</v>
      </c>
      <c r="D12" s="1" t="str">
        <f>RIGHT(B12,LEN(B12)-SEARCH(" ",B12))</f>
        <v>Gurung</v>
      </c>
      <c r="E12" s="1" t="s">
        <v>35</v>
      </c>
      <c r="F12" s="1" t="s">
        <v>30</v>
      </c>
      <c r="G12" s="10" t="s">
        <v>4</v>
      </c>
      <c r="H12" s="9"/>
      <c r="I12" s="10" t="s">
        <v>27</v>
      </c>
      <c r="J12" s="2" t="str">
        <f>A12&amp;".png"</f>
        <v>77.png</v>
      </c>
    </row>
    <row r="13" spans="1:10" ht="18.75">
      <c r="A13" s="21">
        <v>9</v>
      </c>
      <c r="B13" s="21" t="s">
        <v>32</v>
      </c>
      <c r="C13" s="1" t="str">
        <f>LEFT(B13,SEARCH(" ",B13)-1)</f>
        <v>Bipan</v>
      </c>
      <c r="D13" s="1" t="str">
        <f>RIGHT(B13,LEN(B13)-SEARCH(" ",B13))</f>
        <v>Maharjan</v>
      </c>
      <c r="E13" s="1" t="s">
        <v>35</v>
      </c>
      <c r="F13" s="1" t="s">
        <v>30</v>
      </c>
      <c r="G13" s="10" t="s">
        <v>14</v>
      </c>
      <c r="H13" s="23">
        <v>36256</v>
      </c>
      <c r="I13" s="10" t="s">
        <v>39</v>
      </c>
      <c r="J13" s="19" t="str">
        <f>A13&amp;".png"</f>
        <v>9.png</v>
      </c>
    </row>
    <row r="14" spans="1:10" ht="15">
      <c r="A14" s="10" t="s">
        <v>36</v>
      </c>
      <c r="B14" s="13" t="s">
        <v>45</v>
      </c>
      <c r="C14" s="1" t="str">
        <f>LEFT(B14,SEARCH(" ",B14)-1)</f>
        <v>Biku</v>
      </c>
      <c r="D14" s="1" t="str">
        <f>RIGHT(B14,LEN(B14)-SEARCH(" ",B14))</f>
        <v>Maharjan</v>
      </c>
      <c r="E14" s="1" t="s">
        <v>35</v>
      </c>
      <c r="F14" s="1" t="s">
        <v>30</v>
      </c>
      <c r="G14" s="10"/>
      <c r="H14" s="9"/>
      <c r="I14" s="13"/>
      <c r="J14" s="2"/>
    </row>
    <row r="15" spans="1:10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18.75">
      <c r="A16" s="21"/>
      <c r="B16" s="21"/>
      <c r="C16" s="1"/>
      <c r="D16" s="1"/>
      <c r="E16" s="1"/>
      <c r="F16" s="1"/>
      <c r="G16" s="22"/>
      <c r="H16" s="23"/>
      <c r="I16" s="22"/>
      <c r="J16" s="19"/>
    </row>
    <row r="18" spans="1:10" ht="18.75">
      <c r="A18" s="21"/>
      <c r="B18" s="21"/>
      <c r="C18" s="1"/>
      <c r="D18" s="1"/>
      <c r="E18" s="1"/>
      <c r="F18" s="1"/>
      <c r="G18" s="22"/>
      <c r="H18" s="23"/>
      <c r="I18" s="22"/>
      <c r="J18" s="19"/>
    </row>
    <row r="21" spans="1:10" s="6" customFormat="1"/>
    <row r="22" spans="1:10" s="6" customFormat="1"/>
    <row r="25" spans="1:10" s="6" customFormat="1"/>
    <row r="27" spans="1:10" s="6" customFormat="1"/>
    <row r="28" spans="1:10" s="6" customFormat="1"/>
    <row r="29" spans="1:10" s="6" customFormat="1"/>
    <row r="30" spans="1:10" s="6" customFormat="1"/>
    <row r="31" spans="1:10" s="6" customFormat="1"/>
    <row r="32" spans="1:10" ht="15">
      <c r="C32" s="4"/>
      <c r="D32" s="3"/>
      <c r="E32" s="3"/>
      <c r="F32" s="5"/>
      <c r="G32" s="3"/>
      <c r="H32" s="8"/>
    </row>
    <row r="33" spans="3:8" ht="15">
      <c r="C33" s="4"/>
      <c r="D33" s="3"/>
      <c r="E33" s="3"/>
      <c r="F33" s="5"/>
      <c r="G33" s="3"/>
      <c r="H3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selection activeCell="B13" sqref="B13"/>
    </sheetView>
  </sheetViews>
  <sheetFormatPr defaultRowHeight="14.25"/>
  <cols>
    <col min="1" max="1" width="7.5" bestFit="1" customWidth="1"/>
    <col min="2" max="2" width="16" bestFit="1" customWidth="1"/>
    <col min="3" max="3" width="11.375" bestFit="1" customWidth="1"/>
    <col min="4" max="4" width="14.375" bestFit="1" customWidth="1"/>
    <col min="5" max="5" width="8" bestFit="1" customWidth="1"/>
    <col min="6" max="6" width="11.875" bestFit="1" customWidth="1"/>
    <col min="8" max="8" width="10.25" bestFit="1" customWidth="1"/>
    <col min="9" max="9" width="6.75" bestFit="1" customWidth="1"/>
    <col min="10" max="10" width="7.875" bestFit="1" customWidth="1"/>
    <col min="16" max="16" width="10.5" customWidth="1"/>
    <col min="17" max="17" width="12.625" bestFit="1" customWidth="1"/>
    <col min="18" max="18" width="10.25" bestFit="1" customWidth="1"/>
    <col min="19" max="19" width="8.875" bestFit="1" customWidth="1"/>
    <col min="20" max="20" width="12.375" bestFit="1" customWidth="1"/>
    <col min="21" max="21" width="19.625" customWidth="1"/>
    <col min="22" max="22" width="12.75" customWidth="1"/>
    <col min="23" max="23" width="8.625" bestFit="1" customWidth="1"/>
    <col min="24" max="24" width="3.875" bestFit="1" customWidth="1"/>
  </cols>
  <sheetData>
    <row r="1" spans="1:24" ht="15.75">
      <c r="A1" s="11" t="s">
        <v>11</v>
      </c>
      <c r="B1" s="17" t="s">
        <v>0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</v>
      </c>
      <c r="H1" s="11" t="s">
        <v>2</v>
      </c>
      <c r="I1" s="18" t="s">
        <v>3</v>
      </c>
      <c r="J1" s="17" t="s">
        <v>6</v>
      </c>
    </row>
    <row r="2" spans="1:24" ht="18.75">
      <c r="A2" s="21">
        <v>9</v>
      </c>
      <c r="B2" s="21" t="s">
        <v>32</v>
      </c>
      <c r="C2" s="1" t="str">
        <f t="shared" ref="C2:C4" si="0">LEFT(B2,SEARCH(" ",B2)-1)</f>
        <v>Bipan</v>
      </c>
      <c r="D2" s="1" t="str">
        <f t="shared" ref="D2:D4" si="1">RIGHT(B2,LEN(B2)-SEARCH(" ",B2))</f>
        <v>Maharjan</v>
      </c>
      <c r="E2" s="1" t="s">
        <v>29</v>
      </c>
      <c r="F2" s="1" t="s">
        <v>30</v>
      </c>
      <c r="G2" s="22"/>
      <c r="H2" s="23">
        <v>36256</v>
      </c>
      <c r="I2" s="22"/>
      <c r="J2" s="19" t="str">
        <f t="shared" ref="J2:J4" si="2">A2&amp;".png"</f>
        <v>9.png</v>
      </c>
    </row>
    <row r="3" spans="1:24" ht="18.75">
      <c r="A3" s="21">
        <v>20</v>
      </c>
      <c r="B3" s="21" t="s">
        <v>33</v>
      </c>
      <c r="C3" s="1" t="str">
        <f t="shared" si="0"/>
        <v>Sahil</v>
      </c>
      <c r="D3" s="1" t="str">
        <f t="shared" si="1"/>
        <v>Khadka</v>
      </c>
      <c r="E3" s="1" t="s">
        <v>29</v>
      </c>
      <c r="F3" s="1" t="s">
        <v>30</v>
      </c>
      <c r="G3" s="22"/>
      <c r="H3" s="23">
        <v>37833</v>
      </c>
      <c r="I3" s="22"/>
      <c r="J3" s="19" t="str">
        <f t="shared" si="2"/>
        <v>20.png</v>
      </c>
    </row>
    <row r="4" spans="1:24" ht="18.75">
      <c r="A4" s="21">
        <v>36</v>
      </c>
      <c r="B4" s="21" t="s">
        <v>34</v>
      </c>
      <c r="C4" s="1" t="str">
        <f t="shared" si="0"/>
        <v>Sulap</v>
      </c>
      <c r="D4" s="1" t="str">
        <f t="shared" si="1"/>
        <v>Gurung</v>
      </c>
      <c r="E4" s="1" t="s">
        <v>29</v>
      </c>
      <c r="F4" s="1" t="s">
        <v>30</v>
      </c>
      <c r="G4" s="22"/>
      <c r="H4" s="23">
        <v>39685</v>
      </c>
      <c r="I4" s="22"/>
      <c r="J4" s="19" t="str">
        <f t="shared" si="2"/>
        <v>36.png</v>
      </c>
    </row>
    <row r="5" spans="1:24" s="6" customFormat="1" ht="15">
      <c r="A5" s="10">
        <v>77</v>
      </c>
      <c r="B5" s="13" t="s">
        <v>19</v>
      </c>
      <c r="C5" s="1" t="str">
        <f>LEFT(B5,SEARCH(" ",B5)-1)</f>
        <v>Ashutosh</v>
      </c>
      <c r="D5" s="1" t="str">
        <f>RIGHT(B5,LEN(B5)-SEARCH(" ",B5))</f>
        <v>Gurung</v>
      </c>
      <c r="E5" s="1" t="s">
        <v>35</v>
      </c>
      <c r="F5" s="1" t="s">
        <v>30</v>
      </c>
      <c r="G5" s="10" t="s">
        <v>4</v>
      </c>
      <c r="H5" s="9"/>
      <c r="I5" s="10" t="s">
        <v>27</v>
      </c>
      <c r="J5" s="2" t="str">
        <f>A5&amp;".png"</f>
        <v>77.png</v>
      </c>
    </row>
    <row r="6" spans="1:24" ht="25.5">
      <c r="A6" s="10">
        <v>26</v>
      </c>
      <c r="B6" s="13" t="s">
        <v>21</v>
      </c>
      <c r="C6" s="1" t="str">
        <f>LEFT(B6,SEARCH(" ",B6)-1)</f>
        <v>Karma</v>
      </c>
      <c r="D6" s="1" t="str">
        <f>RIGHT(B6,LEN(B6)-SEARCH(" ",B6))</f>
        <v>Jigme Dhakpa Gurung</v>
      </c>
      <c r="E6" s="1" t="s">
        <v>35</v>
      </c>
      <c r="F6" s="1" t="s">
        <v>30</v>
      </c>
      <c r="G6" s="10" t="s">
        <v>13</v>
      </c>
      <c r="H6" s="9"/>
      <c r="I6" s="10" t="s">
        <v>28</v>
      </c>
      <c r="J6" s="2" t="str">
        <f>A6&amp;".png"</f>
        <v>26.png</v>
      </c>
    </row>
    <row r="7" spans="1:24" s="6" customFormat="1" ht="15">
      <c r="A7" s="10">
        <v>25</v>
      </c>
      <c r="B7" s="13" t="s">
        <v>24</v>
      </c>
      <c r="C7" s="1" t="str">
        <f>LEFT(B7,SEARCH(" ",B7)-1)</f>
        <v>Avishek</v>
      </c>
      <c r="D7" s="1" t="str">
        <f>RIGHT(B7,LEN(B7)-SEARCH(" ",B7))</f>
        <v>Karki</v>
      </c>
      <c r="E7" s="1" t="s">
        <v>35</v>
      </c>
      <c r="F7" s="1" t="s">
        <v>30</v>
      </c>
      <c r="G7" s="10" t="s">
        <v>5</v>
      </c>
      <c r="H7" s="9"/>
      <c r="I7" s="10" t="s">
        <v>41</v>
      </c>
      <c r="J7" s="2" t="str">
        <f>A7&amp;".png"</f>
        <v>25.png</v>
      </c>
    </row>
    <row r="8" spans="1:24" ht="15">
      <c r="A8" s="10">
        <v>32</v>
      </c>
      <c r="B8" s="13" t="s">
        <v>23</v>
      </c>
      <c r="C8" s="1" t="str">
        <f>LEFT(B8,SEARCH(" ",B8)-1)</f>
        <v>Sujal</v>
      </c>
      <c r="D8" s="1" t="str">
        <f>RIGHT(B8,LEN(B8)-SEARCH(" ",B8))</f>
        <v>Khatri</v>
      </c>
      <c r="E8" s="1" t="s">
        <v>35</v>
      </c>
      <c r="F8" s="1" t="s">
        <v>30</v>
      </c>
      <c r="G8" s="10" t="s">
        <v>5</v>
      </c>
      <c r="H8" s="9"/>
      <c r="I8" s="10" t="s">
        <v>40</v>
      </c>
      <c r="J8" s="2" t="str">
        <f>A8&amp;".png"</f>
        <v>32.png</v>
      </c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24" ht="18.75">
      <c r="A14" s="20"/>
      <c r="B14" s="20"/>
      <c r="C14" s="20"/>
      <c r="D14" s="20"/>
      <c r="E14" s="20"/>
      <c r="F14" s="20"/>
      <c r="G14" s="20"/>
      <c r="H14" s="20"/>
      <c r="I14" s="20"/>
      <c r="J14" s="20"/>
      <c r="P14" s="21"/>
      <c r="Q14" s="21"/>
      <c r="R14" s="23"/>
      <c r="S14" s="24"/>
      <c r="T14" s="24"/>
      <c r="U14" s="24"/>
      <c r="V14" s="21"/>
      <c r="W14" s="25"/>
      <c r="X14" s="25"/>
    </row>
    <row r="15" spans="1:24" ht="18.75">
      <c r="A15" s="20"/>
      <c r="B15" s="20"/>
      <c r="C15" s="20"/>
      <c r="D15" s="20"/>
      <c r="E15" s="20"/>
      <c r="F15" s="20"/>
      <c r="G15" s="20"/>
      <c r="H15" s="20"/>
      <c r="I15" s="20"/>
      <c r="J15" s="20"/>
      <c r="P15" s="21"/>
      <c r="Q15" s="21"/>
      <c r="R15" s="23"/>
      <c r="S15" s="24"/>
      <c r="T15" s="24"/>
      <c r="U15" s="24"/>
      <c r="V15" s="21"/>
      <c r="W15" s="25"/>
      <c r="X15" s="25"/>
    </row>
    <row r="16" spans="1:24" ht="18.75">
      <c r="A16" s="20"/>
      <c r="B16" s="20"/>
      <c r="C16" s="20"/>
      <c r="D16" s="20"/>
      <c r="E16" s="20"/>
      <c r="F16" s="20"/>
      <c r="G16" s="20"/>
      <c r="H16" s="20"/>
      <c r="I16" s="20"/>
      <c r="J16" s="20"/>
      <c r="P16" s="21"/>
      <c r="Q16" s="21"/>
      <c r="R16" s="23"/>
      <c r="S16" s="26"/>
      <c r="T16" s="24"/>
      <c r="U16" s="24"/>
      <c r="V16" s="21"/>
      <c r="W16" s="27"/>
      <c r="X16" s="28"/>
    </row>
    <row r="17" spans="1:10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0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>
      <c r="A25" s="20"/>
      <c r="B25" s="20"/>
      <c r="C25" s="20"/>
      <c r="D25" s="20"/>
      <c r="E25" s="20"/>
      <c r="F25" s="20"/>
      <c r="G25" s="20"/>
      <c r="H25" s="20"/>
      <c r="I25" s="20"/>
      <c r="J2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2026-03-15T12:50:42Z</dcterms:modified>
</cp:coreProperties>
</file>