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Golden Gate\"/>
    </mc:Choice>
  </mc:AlternateContent>
  <bookViews>
    <workbookView xWindow="1950" yWindow="1410" windowWidth="26340" windowHeight="1338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1" l="1"/>
  <c r="D10" i="1"/>
  <c r="C10" i="1"/>
  <c r="J5" i="2"/>
  <c r="D5" i="2"/>
  <c r="C5" i="2"/>
  <c r="J2" i="2" l="1"/>
  <c r="J3" i="2"/>
  <c r="J4" i="2"/>
  <c r="D2" i="2"/>
  <c r="D3" i="2"/>
  <c r="D4" i="2"/>
  <c r="C2" i="2"/>
  <c r="C3" i="2"/>
  <c r="C4" i="2"/>
  <c r="C14" i="1" l="1"/>
  <c r="D14" i="1"/>
  <c r="C8" i="1"/>
  <c r="D8" i="1"/>
  <c r="J8" i="1"/>
  <c r="J13" i="1" l="1"/>
  <c r="D13" i="1"/>
  <c r="C13" i="1"/>
  <c r="J5" i="1" l="1"/>
  <c r="J3" i="1"/>
  <c r="D5" i="1"/>
  <c r="C5" i="1"/>
  <c r="J4" i="1" l="1"/>
  <c r="J9" i="1"/>
  <c r="J7" i="1"/>
  <c r="J6" i="1"/>
  <c r="J11" i="1"/>
  <c r="J12" i="1"/>
  <c r="J2" i="1"/>
  <c r="D2" i="1"/>
  <c r="D4" i="1"/>
  <c r="D9" i="1"/>
  <c r="D7" i="1"/>
  <c r="D6" i="1"/>
  <c r="D11" i="1"/>
  <c r="D12" i="1"/>
  <c r="C2" i="1"/>
  <c r="C4" i="1"/>
  <c r="C9" i="1"/>
  <c r="C7" i="1"/>
  <c r="C6" i="1"/>
  <c r="C11" i="1"/>
  <c r="C12" i="1"/>
  <c r="D3" i="1"/>
  <c r="C3" i="1"/>
</calcChain>
</file>

<file path=xl/sharedStrings.xml><?xml version="1.0" encoding="utf-8"?>
<sst xmlns="http://schemas.openxmlformats.org/spreadsheetml/2006/main" count="109" uniqueCount="53">
  <si>
    <t>Name</t>
  </si>
  <si>
    <t>Position</t>
  </si>
  <si>
    <t>DOB</t>
  </si>
  <si>
    <t>Height</t>
  </si>
  <si>
    <t>SG</t>
  </si>
  <si>
    <t>C</t>
  </si>
  <si>
    <t>PF</t>
  </si>
  <si>
    <t>Picture</t>
  </si>
  <si>
    <t>First Name</t>
  </si>
  <si>
    <t>Last Name</t>
  </si>
  <si>
    <t>Team</t>
  </si>
  <si>
    <t>Team Logo</t>
  </si>
  <si>
    <t>Jersey</t>
  </si>
  <si>
    <t>PG</t>
  </si>
  <si>
    <t>5'11"</t>
  </si>
  <si>
    <t>SF</t>
  </si>
  <si>
    <t>6'2"</t>
  </si>
  <si>
    <t>5'8"</t>
  </si>
  <si>
    <t>Nikesh Rakhal Magar</t>
  </si>
  <si>
    <t>Sudeep Poudel Chhetri</t>
  </si>
  <si>
    <t>Bikash Gurung</t>
  </si>
  <si>
    <t>Rajiv Joshi</t>
  </si>
  <si>
    <t>Amrit Koirala</t>
  </si>
  <si>
    <t>Sujan Maharjan</t>
  </si>
  <si>
    <t>Abhishek Singh</t>
  </si>
  <si>
    <t>Deepson Kc</t>
  </si>
  <si>
    <t>Rupesh Khadka</t>
  </si>
  <si>
    <t>Pemba Tamang</t>
  </si>
  <si>
    <t>Aadarsh Jung Kunwar</t>
  </si>
  <si>
    <t>Ajay Kushawa</t>
  </si>
  <si>
    <t>G/F</t>
  </si>
  <si>
    <t>F/C</t>
  </si>
  <si>
    <t>19/11/1999</t>
  </si>
  <si>
    <t>21/02/2000</t>
  </si>
  <si>
    <t>26/06/1999</t>
  </si>
  <si>
    <t>20/09/2000</t>
  </si>
  <si>
    <t>23/01/2002</t>
  </si>
  <si>
    <t>20/07/1999</t>
  </si>
  <si>
    <t>27/12/2005</t>
  </si>
  <si>
    <t>14/04/1998</t>
  </si>
  <si>
    <t>6'</t>
  </si>
  <si>
    <t>5'9"</t>
  </si>
  <si>
    <t>6'4"</t>
  </si>
  <si>
    <t>Golden Gate</t>
  </si>
  <si>
    <t>GoldenGate.png</t>
  </si>
  <si>
    <t>Manish Nakarmi</t>
  </si>
  <si>
    <t>Coach</t>
  </si>
  <si>
    <t>Aashish Maharjan</t>
  </si>
  <si>
    <t>16/05/2000</t>
  </si>
  <si>
    <t>Yuvraj Tamang</t>
  </si>
  <si>
    <t>Sesil Chakradhar</t>
  </si>
  <si>
    <t>G</t>
  </si>
  <si>
    <t>16/02/2000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</si>
</sst>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rgb="FF212529"/>
      <name val="Arial"/>
      <family val="2"/>
    </font>
    <font>
      <sz val="12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CCCCCC"/>
      </top>
      <bottom style="medium">
        <color rgb="FFDEE2E6"/>
      </bottom>
      <diagonal/>
    </border>
    <border>
      <left style="medium">
        <color rgb="FFDEE2E6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Fill="1" applyBorder="1" applyAlignment="1">
      <alignment vertical="top"/>
    </xf>
    <xf numFmtId="0" fontId="3" fillId="0" borderId="3" xfId="0" applyFont="1" applyBorder="1" applyAlignment="1">
      <alignment horizontal="right"/>
    </xf>
    <xf numFmtId="0" fontId="2" fillId="0" borderId="0" xfId="0" applyFont="1" applyFill="1" applyBorder="1" applyAlignment="1"/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164" fontId="5" fillId="0" borderId="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A10" sqref="A10:XFD10"/>
    </sheetView>
  </sheetViews>
  <sheetFormatPr defaultRowHeight="14.25"/>
  <cols>
    <col min="2" max="2" width="20.75" bestFit="1" customWidth="1"/>
    <col min="3" max="3" width="9.75" bestFit="1" customWidth="1"/>
    <col min="4" max="4" width="14.125" bestFit="1" customWidth="1"/>
    <col min="5" max="5" width="13.5" customWidth="1"/>
    <col min="6" max="6" width="15.5" bestFit="1" customWidth="1"/>
    <col min="7" max="7" width="16.375" customWidth="1"/>
    <col min="8" max="8" width="15.875" bestFit="1" customWidth="1"/>
    <col min="9" max="9" width="7" bestFit="1" customWidth="1"/>
    <col min="10" max="10" width="13" customWidth="1"/>
  </cols>
  <sheetData>
    <row r="1" spans="1:10" ht="16.5" thickBot="1">
      <c r="A1" s="1" t="s">
        <v>12</v>
      </c>
      <c r="B1" s="2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</v>
      </c>
      <c r="H1" s="1" t="s">
        <v>2</v>
      </c>
      <c r="I1" s="2" t="s">
        <v>3</v>
      </c>
      <c r="J1" s="2" t="s">
        <v>7</v>
      </c>
    </row>
    <row r="2" spans="1:10" ht="15.75" thickBot="1">
      <c r="A2" s="12">
        <v>4</v>
      </c>
      <c r="B2" s="13" t="s">
        <v>19</v>
      </c>
      <c r="C2" s="3" t="str">
        <f t="shared" ref="C2:C9" si="0">LEFT(B2,SEARCH(" ",B2)-1)</f>
        <v>Sudeep</v>
      </c>
      <c r="D2" s="3" t="str">
        <f t="shared" ref="D2:D9" si="1">RIGHT(B2,LEN(B2)-SEARCH(" ",B2))</f>
        <v>Poudel Chhetri</v>
      </c>
      <c r="E2" s="3" t="s">
        <v>43</v>
      </c>
      <c r="F2" s="3" t="s">
        <v>44</v>
      </c>
      <c r="G2" s="12" t="s">
        <v>30</v>
      </c>
      <c r="H2" s="12" t="s">
        <v>33</v>
      </c>
      <c r="I2" s="14" t="s">
        <v>40</v>
      </c>
      <c r="J2" s="15" t="str">
        <f t="shared" ref="J2:J9" si="2">A2&amp;".png"</f>
        <v>4.png</v>
      </c>
    </row>
    <row r="3" spans="1:10" ht="15.75" thickBot="1">
      <c r="A3" s="5">
        <v>7</v>
      </c>
      <c r="B3" s="9" t="s">
        <v>18</v>
      </c>
      <c r="C3" s="3" t="str">
        <f t="shared" si="0"/>
        <v>Nikesh</v>
      </c>
      <c r="D3" s="3" t="str">
        <f t="shared" si="1"/>
        <v>Rakhal Magar</v>
      </c>
      <c r="E3" s="3" t="s">
        <v>43</v>
      </c>
      <c r="F3" s="3" t="s">
        <v>44</v>
      </c>
      <c r="G3" s="5" t="s">
        <v>13</v>
      </c>
      <c r="H3" s="5" t="s">
        <v>32</v>
      </c>
      <c r="I3" s="8" t="s">
        <v>40</v>
      </c>
      <c r="J3" s="4" t="str">
        <f t="shared" si="2"/>
        <v>7.png</v>
      </c>
    </row>
    <row r="4" spans="1:10" ht="15.75" thickBot="1">
      <c r="A4" s="6">
        <v>9</v>
      </c>
      <c r="B4" s="10" t="s">
        <v>20</v>
      </c>
      <c r="C4" s="3" t="str">
        <f t="shared" si="0"/>
        <v>Bikash</v>
      </c>
      <c r="D4" s="3" t="str">
        <f t="shared" si="1"/>
        <v>Gurung</v>
      </c>
      <c r="E4" s="3" t="s">
        <v>43</v>
      </c>
      <c r="F4" s="3" t="s">
        <v>44</v>
      </c>
      <c r="G4" s="6" t="s">
        <v>15</v>
      </c>
      <c r="H4" s="7">
        <v>34126</v>
      </c>
      <c r="I4" s="8" t="s">
        <v>14</v>
      </c>
      <c r="J4" s="4" t="str">
        <f t="shared" si="2"/>
        <v>9.png</v>
      </c>
    </row>
    <row r="5" spans="1:10" ht="15.75" thickBot="1">
      <c r="A5" s="6">
        <v>15</v>
      </c>
      <c r="B5" s="10" t="s">
        <v>28</v>
      </c>
      <c r="C5" s="3" t="str">
        <f t="shared" si="0"/>
        <v>Aadarsh</v>
      </c>
      <c r="D5" s="3" t="str">
        <f t="shared" si="1"/>
        <v>Jung Kunwar</v>
      </c>
      <c r="E5" s="3" t="s">
        <v>43</v>
      </c>
      <c r="F5" s="3" t="s">
        <v>44</v>
      </c>
      <c r="G5" s="6" t="s">
        <v>31</v>
      </c>
      <c r="H5" s="6" t="s">
        <v>38</v>
      </c>
      <c r="I5" s="8" t="s">
        <v>16</v>
      </c>
      <c r="J5" s="4" t="str">
        <f t="shared" si="2"/>
        <v>15.png</v>
      </c>
    </row>
    <row r="6" spans="1:10" ht="15.75" thickBot="1">
      <c r="A6" s="6">
        <v>44</v>
      </c>
      <c r="B6" s="10" t="s">
        <v>25</v>
      </c>
      <c r="C6" s="3" t="str">
        <f t="shared" si="0"/>
        <v>Deepson</v>
      </c>
      <c r="D6" s="3" t="str">
        <f t="shared" si="1"/>
        <v>Kc</v>
      </c>
      <c r="E6" s="3" t="s">
        <v>43</v>
      </c>
      <c r="F6" s="3" t="s">
        <v>44</v>
      </c>
      <c r="G6" s="6" t="s">
        <v>30</v>
      </c>
      <c r="H6" s="7">
        <v>37054</v>
      </c>
      <c r="I6" s="8" t="s">
        <v>17</v>
      </c>
      <c r="J6" s="4" t="str">
        <f t="shared" si="2"/>
        <v>44.png</v>
      </c>
    </row>
    <row r="7" spans="1:10" ht="15.75" thickBot="1">
      <c r="A7" s="6">
        <v>23</v>
      </c>
      <c r="B7" s="10" t="s">
        <v>23</v>
      </c>
      <c r="C7" s="3" t="str">
        <f t="shared" si="0"/>
        <v>Sujan</v>
      </c>
      <c r="D7" s="3" t="str">
        <f t="shared" si="1"/>
        <v>Maharjan</v>
      </c>
      <c r="E7" s="3" t="s">
        <v>43</v>
      </c>
      <c r="F7" s="3" t="s">
        <v>44</v>
      </c>
      <c r="G7" s="6" t="s">
        <v>4</v>
      </c>
      <c r="H7" s="6" t="s">
        <v>35</v>
      </c>
      <c r="I7" s="8" t="s">
        <v>14</v>
      </c>
      <c r="J7" s="4" t="str">
        <f t="shared" si="2"/>
        <v>23.png</v>
      </c>
    </row>
    <row r="8" spans="1:10" ht="15.75" thickBot="1">
      <c r="A8" s="6">
        <v>1</v>
      </c>
      <c r="B8" s="10" t="s">
        <v>21</v>
      </c>
      <c r="C8" s="3" t="str">
        <f t="shared" si="0"/>
        <v>Rajiv</v>
      </c>
      <c r="D8" s="3" t="str">
        <f t="shared" si="1"/>
        <v>Joshi</v>
      </c>
      <c r="E8" s="3" t="s">
        <v>43</v>
      </c>
      <c r="F8" s="3" t="s">
        <v>44</v>
      </c>
      <c r="G8" s="6" t="s">
        <v>13</v>
      </c>
      <c r="H8" s="7">
        <v>32422</v>
      </c>
      <c r="I8" s="8" t="s">
        <v>41</v>
      </c>
      <c r="J8" s="4" t="str">
        <f t="shared" si="2"/>
        <v>1.png</v>
      </c>
    </row>
    <row r="9" spans="1:10" ht="15.75" thickBot="1">
      <c r="A9" s="6">
        <v>0</v>
      </c>
      <c r="B9" s="10" t="s">
        <v>22</v>
      </c>
      <c r="C9" s="3" t="str">
        <f t="shared" si="0"/>
        <v>Amrit</v>
      </c>
      <c r="D9" s="3" t="str">
        <f t="shared" si="1"/>
        <v>Koirala</v>
      </c>
      <c r="E9" s="3" t="s">
        <v>43</v>
      </c>
      <c r="F9" s="3" t="s">
        <v>44</v>
      </c>
      <c r="G9" s="6" t="s">
        <v>6</v>
      </c>
      <c r="H9" s="6" t="s">
        <v>34</v>
      </c>
      <c r="I9" s="8" t="s">
        <v>14</v>
      </c>
      <c r="J9" s="4" t="str">
        <f t="shared" si="2"/>
        <v>0.png</v>
      </c>
    </row>
    <row r="10" spans="1:10" ht="15.75" thickBot="1">
      <c r="A10" s="17">
        <v>33</v>
      </c>
      <c r="B10" s="16" t="s">
        <v>47</v>
      </c>
      <c r="C10" s="3" t="str">
        <f t="shared" ref="C10" si="3">LEFT(B10,SEARCH(" ",B10)-1)</f>
        <v>Aashish</v>
      </c>
      <c r="D10" s="3" t="str">
        <f t="shared" ref="D10" si="4">RIGHT(B10,LEN(B10)-SEARCH(" ",B10))</f>
        <v>Maharjan</v>
      </c>
      <c r="E10" s="3" t="s">
        <v>43</v>
      </c>
      <c r="F10" s="3" t="s">
        <v>44</v>
      </c>
      <c r="G10" s="17" t="s">
        <v>4</v>
      </c>
      <c r="H10" s="17" t="s">
        <v>48</v>
      </c>
      <c r="I10" s="18">
        <v>5.5</v>
      </c>
      <c r="J10" s="15" t="str">
        <f t="shared" ref="J10" si="5">A10&amp;".png"</f>
        <v>33.png</v>
      </c>
    </row>
    <row r="11" spans="1:10" ht="15.75" thickBot="1">
      <c r="A11" s="6">
        <v>8</v>
      </c>
      <c r="B11" s="10" t="s">
        <v>26</v>
      </c>
      <c r="C11" s="3" t="str">
        <f>LEFT(B11,SEARCH(" ",B11)-1)</f>
        <v>Rupesh</v>
      </c>
      <c r="D11" s="3" t="str">
        <f>RIGHT(B11,LEN(B11)-SEARCH(" ",B11))</f>
        <v>Khadka</v>
      </c>
      <c r="E11" s="3" t="s">
        <v>43</v>
      </c>
      <c r="F11" s="3" t="s">
        <v>44</v>
      </c>
      <c r="G11" s="6" t="s">
        <v>15</v>
      </c>
      <c r="H11" s="6" t="s">
        <v>37</v>
      </c>
      <c r="I11" s="8" t="s">
        <v>14</v>
      </c>
      <c r="J11" s="4" t="str">
        <f>A11&amp;".png"</f>
        <v>8.png</v>
      </c>
    </row>
    <row r="12" spans="1:10" ht="15.75" thickBot="1">
      <c r="A12" s="6">
        <v>28</v>
      </c>
      <c r="B12" s="10" t="s">
        <v>27</v>
      </c>
      <c r="C12" s="3" t="str">
        <f>LEFT(B12,SEARCH(" ",B12)-1)</f>
        <v>Pemba</v>
      </c>
      <c r="D12" s="3" t="str">
        <f>RIGHT(B12,LEN(B12)-SEARCH(" ",B12))</f>
        <v>Tamang</v>
      </c>
      <c r="E12" s="3" t="s">
        <v>43</v>
      </c>
      <c r="F12" s="3" t="s">
        <v>44</v>
      </c>
      <c r="G12" s="6" t="s">
        <v>31</v>
      </c>
      <c r="H12" s="7">
        <v>37023</v>
      </c>
      <c r="I12" s="8" t="s">
        <v>16</v>
      </c>
      <c r="J12" s="4" t="str">
        <f>A12&amp;".png"</f>
        <v>28.png</v>
      </c>
    </row>
    <row r="13" spans="1:10" ht="15.75" thickBot="1">
      <c r="A13" s="6">
        <v>6</v>
      </c>
      <c r="B13" s="10" t="s">
        <v>29</v>
      </c>
      <c r="C13" s="3" t="str">
        <f>LEFT(B13,SEARCH(" ",B13)-1)</f>
        <v>Ajay</v>
      </c>
      <c r="D13" s="3" t="str">
        <f>RIGHT(B13,LEN(B13)-SEARCH(" ",B13))</f>
        <v>Kushawa</v>
      </c>
      <c r="E13" s="3" t="s">
        <v>43</v>
      </c>
      <c r="F13" s="3" t="s">
        <v>44</v>
      </c>
      <c r="G13" s="6" t="s">
        <v>5</v>
      </c>
      <c r="H13" s="6" t="s">
        <v>39</v>
      </c>
      <c r="I13" s="8" t="s">
        <v>42</v>
      </c>
      <c r="J13" s="4" t="str">
        <f>A13&amp;".png"</f>
        <v>6.png</v>
      </c>
    </row>
    <row r="14" spans="1:10" ht="15">
      <c r="A14" t="s">
        <v>46</v>
      </c>
      <c r="B14" s="11" t="s">
        <v>45</v>
      </c>
      <c r="C14" s="3" t="str">
        <f>LEFT(B14,SEARCH(" ",B14)-1)</f>
        <v>Manish</v>
      </c>
      <c r="D14" s="3" t="str">
        <f>RIGHT(B14,LEN(B14)-SEARCH(" ",B14))</f>
        <v>Nakarmi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A2" sqref="A2:XFD2"/>
    </sheetView>
  </sheetViews>
  <sheetFormatPr defaultRowHeight="14.25"/>
  <cols>
    <col min="1" max="1" width="7.5" bestFit="1" customWidth="1"/>
    <col min="2" max="2" width="16.75" bestFit="1" customWidth="1"/>
    <col min="3" max="3" width="11.375" bestFit="1" customWidth="1"/>
    <col min="4" max="4" width="11.25" bestFit="1" customWidth="1"/>
    <col min="5" max="5" width="12.125" bestFit="1" customWidth="1"/>
    <col min="6" max="6" width="15.5" bestFit="1" customWidth="1"/>
    <col min="8" max="8" width="11.125" bestFit="1" customWidth="1"/>
    <col min="9" max="9" width="7.375" bestFit="1" customWidth="1"/>
    <col min="10" max="10" width="7.875" bestFit="1" customWidth="1"/>
  </cols>
  <sheetData>
    <row r="1" spans="1:19" ht="15.75">
      <c r="A1" s="1" t="s">
        <v>12</v>
      </c>
      <c r="B1" s="2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</v>
      </c>
      <c r="H1" s="1" t="s">
        <v>2</v>
      </c>
      <c r="I1" s="2" t="s">
        <v>3</v>
      </c>
      <c r="J1" s="2" t="s">
        <v>7</v>
      </c>
    </row>
    <row r="2" spans="1:19" ht="15">
      <c r="A2" s="17">
        <v>33</v>
      </c>
      <c r="B2" s="16" t="s">
        <v>47</v>
      </c>
      <c r="C2" s="3" t="str">
        <f t="shared" ref="C2:C4" si="0">LEFT(B2,SEARCH(" ",B2)-1)</f>
        <v>Aashish</v>
      </c>
      <c r="D2" s="3" t="str">
        <f t="shared" ref="D2:D4" si="1">RIGHT(B2,LEN(B2)-SEARCH(" ",B2))</f>
        <v>Maharjan</v>
      </c>
      <c r="E2" s="3" t="s">
        <v>43</v>
      </c>
      <c r="F2" s="3" t="s">
        <v>44</v>
      </c>
      <c r="G2" s="17" t="s">
        <v>4</v>
      </c>
      <c r="H2" s="17" t="s">
        <v>48</v>
      </c>
      <c r="I2" s="18">
        <v>5.5</v>
      </c>
      <c r="J2" s="15" t="str">
        <f t="shared" ref="J2:J4" si="2">A2&amp;".png"</f>
        <v>33.png</v>
      </c>
    </row>
    <row r="3" spans="1:19" ht="15">
      <c r="A3" s="17">
        <v>24</v>
      </c>
      <c r="B3" s="16" t="s">
        <v>49</v>
      </c>
      <c r="C3" s="3" t="str">
        <f t="shared" si="0"/>
        <v>Yuvraj</v>
      </c>
      <c r="D3" s="3" t="str">
        <f t="shared" si="1"/>
        <v>Tamang</v>
      </c>
      <c r="E3" s="3" t="s">
        <v>43</v>
      </c>
      <c r="F3" s="3" t="s">
        <v>44</v>
      </c>
      <c r="G3" s="17" t="s">
        <v>15</v>
      </c>
      <c r="H3" s="20">
        <v>39600</v>
      </c>
      <c r="I3" s="18">
        <v>5.8</v>
      </c>
      <c r="J3" s="15" t="str">
        <f t="shared" si="2"/>
        <v>24.png</v>
      </c>
    </row>
    <row r="4" spans="1:19" ht="15.75" thickBot="1">
      <c r="A4" s="17">
        <v>12</v>
      </c>
      <c r="B4" s="16" t="s">
        <v>50</v>
      </c>
      <c r="C4" s="3" t="str">
        <f t="shared" si="0"/>
        <v>Sesil</v>
      </c>
      <c r="D4" s="3" t="str">
        <f t="shared" si="1"/>
        <v>Chakradhar</v>
      </c>
      <c r="E4" s="3" t="s">
        <v>43</v>
      </c>
      <c r="F4" s="3" t="s">
        <v>44</v>
      </c>
      <c r="G4" s="17" t="s">
        <v>51</v>
      </c>
      <c r="H4" s="17" t="s">
        <v>52</v>
      </c>
      <c r="I4" s="18">
        <v>5.7</v>
      </c>
      <c r="J4" s="15" t="str">
        <f t="shared" si="2"/>
        <v>12.png</v>
      </c>
    </row>
    <row r="5" spans="1:19" ht="15.75" thickBot="1">
      <c r="A5" s="6">
        <v>30</v>
      </c>
      <c r="B5" s="10" t="s">
        <v>24</v>
      </c>
      <c r="C5" s="3" t="str">
        <f>LEFT(B5,SEARCH(" ",B5)-1)</f>
        <v>Abhishek</v>
      </c>
      <c r="D5" s="3" t="str">
        <f>RIGHT(B5,LEN(B5)-SEARCH(" ",B5))</f>
        <v>Singh</v>
      </c>
      <c r="E5" s="3" t="s">
        <v>43</v>
      </c>
      <c r="F5" s="3" t="s">
        <v>44</v>
      </c>
      <c r="G5" s="6" t="s">
        <v>4</v>
      </c>
      <c r="H5" s="6" t="s">
        <v>36</v>
      </c>
      <c r="I5" s="8" t="s">
        <v>14</v>
      </c>
      <c r="J5" s="4" t="str">
        <f>A5&amp;".png"</f>
        <v>30.png</v>
      </c>
    </row>
    <row r="13" spans="1:19" ht="15">
      <c r="M13" s="16"/>
      <c r="N13" s="17"/>
      <c r="O13" s="17"/>
      <c r="P13" s="17"/>
      <c r="Q13" s="18"/>
      <c r="S13" s="19"/>
    </row>
    <row r="14" spans="1:19" ht="15">
      <c r="M14" s="16"/>
      <c r="N14" s="17"/>
      <c r="O14" s="17"/>
      <c r="P14" s="20"/>
      <c r="Q14" s="18"/>
    </row>
    <row r="15" spans="1:19" ht="15">
      <c r="M15" s="16"/>
      <c r="N15" s="17"/>
      <c r="O15" s="17"/>
      <c r="P15" s="17"/>
      <c r="Q1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2026-03-14T14:32:45Z</dcterms:modified>
</cp:coreProperties>
</file>