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KVC Hounds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3" i="2" l="1"/>
  <c r="J2" i="2"/>
  <c r="D3" i="2"/>
  <c r="C3" i="2"/>
  <c r="C10" i="1" l="1"/>
  <c r="D10" i="1"/>
  <c r="C14" i="1" l="1"/>
  <c r="D14" i="1"/>
  <c r="D2" i="2" l="1"/>
  <c r="C2" i="2"/>
  <c r="D4" i="1" l="1"/>
  <c r="D5" i="1"/>
  <c r="D6" i="1"/>
  <c r="D7" i="1"/>
  <c r="D9" i="1"/>
  <c r="D2" i="1"/>
  <c r="D11" i="1"/>
  <c r="D8" i="1"/>
  <c r="D3" i="1"/>
  <c r="D12" i="1"/>
  <c r="D13" i="1"/>
  <c r="C4" i="1"/>
  <c r="C5" i="1"/>
  <c r="C6" i="1"/>
  <c r="C7" i="1"/>
  <c r="C9" i="1"/>
  <c r="C2" i="1"/>
  <c r="C11" i="1"/>
  <c r="C8" i="1"/>
  <c r="C3" i="1"/>
  <c r="C12" i="1"/>
  <c r="C13" i="1"/>
</calcChain>
</file>

<file path=xl/sharedStrings.xml><?xml version="1.0" encoding="utf-8"?>
<sst xmlns="http://schemas.openxmlformats.org/spreadsheetml/2006/main" count="107" uniqueCount="60">
  <si>
    <t>Name</t>
  </si>
  <si>
    <t>Position</t>
  </si>
  <si>
    <t>DOB</t>
  </si>
  <si>
    <t>Height</t>
  </si>
  <si>
    <t>Ashim Thapa</t>
  </si>
  <si>
    <t>Bijay Burja</t>
  </si>
  <si>
    <t>PG/SG</t>
  </si>
  <si>
    <t xml:space="preserve">Ujen Norbu Gurung </t>
  </si>
  <si>
    <t>Saurav shrestha</t>
  </si>
  <si>
    <t>Bikram Dangol</t>
  </si>
  <si>
    <t>Prasang Dhoj Maskey</t>
  </si>
  <si>
    <t>SG</t>
  </si>
  <si>
    <t>Sujal khadka</t>
  </si>
  <si>
    <t>C</t>
  </si>
  <si>
    <t xml:space="preserve">Kalsang Nuru Sherpa </t>
  </si>
  <si>
    <t xml:space="preserve">SF </t>
  </si>
  <si>
    <t>Abhishek Singh</t>
  </si>
  <si>
    <t>C/PF</t>
  </si>
  <si>
    <t>Ashim shrestha</t>
  </si>
  <si>
    <t>SF/PF</t>
  </si>
  <si>
    <t>15/6/1993</t>
  </si>
  <si>
    <t>Tenzing sonam</t>
  </si>
  <si>
    <t>PF</t>
  </si>
  <si>
    <t>Ajar Shrestha</t>
  </si>
  <si>
    <t>PF/C</t>
  </si>
  <si>
    <t>Picture</t>
  </si>
  <si>
    <t>77b.png</t>
  </si>
  <si>
    <t>3.png</t>
  </si>
  <si>
    <t>15.png</t>
  </si>
  <si>
    <t>21.png</t>
  </si>
  <si>
    <t>23.png</t>
  </si>
  <si>
    <t>5.png</t>
  </si>
  <si>
    <t>29.png</t>
  </si>
  <si>
    <t>13.png</t>
  </si>
  <si>
    <t>22.png</t>
  </si>
  <si>
    <t>4.png</t>
  </si>
  <si>
    <t>77.png</t>
  </si>
  <si>
    <t>18.png</t>
  </si>
  <si>
    <t>First Name</t>
  </si>
  <si>
    <t>Last Name</t>
  </si>
  <si>
    <t>Team</t>
  </si>
  <si>
    <t>Team Logo</t>
  </si>
  <si>
    <t>Hounds.png</t>
  </si>
  <si>
    <t>Jersey</t>
  </si>
  <si>
    <t>SF/SG</t>
  </si>
  <si>
    <t>PG</t>
  </si>
  <si>
    <t>5'1"</t>
  </si>
  <si>
    <t>5'11"</t>
  </si>
  <si>
    <t>5'7"</t>
  </si>
  <si>
    <t>5'9"</t>
  </si>
  <si>
    <t>6'2"</t>
  </si>
  <si>
    <t>6'1"</t>
  </si>
  <si>
    <t>6'</t>
  </si>
  <si>
    <t>KVC Hounds</t>
  </si>
  <si>
    <t>Shivam Yadav</t>
  </si>
  <si>
    <t>Coach</t>
  </si>
  <si>
    <t xml:space="preserve">Harsh Rao </t>
  </si>
  <si>
    <t>26-11-2000</t>
  </si>
  <si>
    <t>6'6"</t>
  </si>
  <si>
    <t>Prem Sundar Hona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</si>
</sst>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mm\ d\ yyyy"/>
    <numFmt numFmtId="165" formatCode="yyyy\-mm\-dd"/>
    <numFmt numFmtId="166" formatCode="yyyy/mm/dd"/>
  </numFmts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46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B6" sqref="B6"/>
    </sheetView>
  </sheetViews>
  <sheetFormatPr defaultRowHeight="14.25"/>
  <cols>
    <col min="2" max="2" width="20.75" bestFit="1" customWidth="1"/>
    <col min="3" max="3" width="9.75" bestFit="1" customWidth="1"/>
    <col min="4" max="4" width="12.5" customWidth="1"/>
    <col min="5" max="5" width="12.5" bestFit="1" customWidth="1"/>
    <col min="6" max="6" width="17" customWidth="1"/>
    <col min="7" max="7" width="16.375" customWidth="1"/>
    <col min="8" max="8" width="15.875" bestFit="1" customWidth="1"/>
    <col min="9" max="9" width="7" bestFit="1" customWidth="1"/>
    <col min="10" max="10" width="13" customWidth="1"/>
  </cols>
  <sheetData>
    <row r="1" spans="1:10" ht="15.75">
      <c r="A1" s="9" t="s">
        <v>43</v>
      </c>
      <c r="B1" s="10" t="s">
        <v>0</v>
      </c>
      <c r="C1" s="9" t="s">
        <v>38</v>
      </c>
      <c r="D1" s="9" t="s">
        <v>39</v>
      </c>
      <c r="E1" s="9" t="s">
        <v>40</v>
      </c>
      <c r="F1" s="9" t="s">
        <v>41</v>
      </c>
      <c r="G1" s="9" t="s">
        <v>1</v>
      </c>
      <c r="H1" s="9" t="s">
        <v>2</v>
      </c>
      <c r="I1" s="10" t="s">
        <v>3</v>
      </c>
      <c r="J1" s="10" t="s">
        <v>25</v>
      </c>
    </row>
    <row r="2" spans="1:10" ht="15">
      <c r="A2" s="4">
        <v>3</v>
      </c>
      <c r="B2" s="14" t="s">
        <v>12</v>
      </c>
      <c r="C2" s="15" t="str">
        <f t="shared" ref="C2:C9" si="0">LEFT(B2,SEARCH(" ",B2)-1)</f>
        <v>Sujal</v>
      </c>
      <c r="D2" s="15" t="str">
        <f t="shared" ref="D2:D9" si="1">RIGHT(B2,LEN(B2)-SEARCH(" ",B2))</f>
        <v>khadka</v>
      </c>
      <c r="E2" s="4" t="s">
        <v>53</v>
      </c>
      <c r="F2" s="4" t="s">
        <v>42</v>
      </c>
      <c r="G2" s="4" t="s">
        <v>13</v>
      </c>
      <c r="H2" s="7">
        <v>38973</v>
      </c>
      <c r="I2" s="3" t="s">
        <v>50</v>
      </c>
      <c r="J2" s="3" t="s">
        <v>33</v>
      </c>
    </row>
    <row r="3" spans="1:10" ht="15">
      <c r="A3" s="4">
        <v>13</v>
      </c>
      <c r="B3" s="14" t="s">
        <v>18</v>
      </c>
      <c r="C3" s="15" t="str">
        <f>LEFT(B3,SEARCH(" ",B3)-1)</f>
        <v>Ashim</v>
      </c>
      <c r="D3" s="15" t="str">
        <f>RIGHT(B3,LEN(B3)-SEARCH(" ",B3))</f>
        <v>shrestha</v>
      </c>
      <c r="E3" s="4" t="s">
        <v>53</v>
      </c>
      <c r="F3" s="4" t="s">
        <v>42</v>
      </c>
      <c r="G3" s="4" t="s">
        <v>19</v>
      </c>
      <c r="H3" s="4" t="s">
        <v>20</v>
      </c>
      <c r="I3" s="3" t="s">
        <v>50</v>
      </c>
      <c r="J3" s="3" t="s">
        <v>27</v>
      </c>
    </row>
    <row r="4" spans="1:10" ht="15">
      <c r="A4" s="4">
        <v>15</v>
      </c>
      <c r="B4" s="14" t="s">
        <v>5</v>
      </c>
      <c r="C4" s="15" t="str">
        <f>LEFT(B4,SEARCH(" ",B4)-1)</f>
        <v>Bijay</v>
      </c>
      <c r="D4" s="15" t="str">
        <f>RIGHT(B4,LEN(B4)-SEARCH(" ",B4))</f>
        <v>Burja</v>
      </c>
      <c r="E4" s="4" t="s">
        <v>53</v>
      </c>
      <c r="F4" s="4" t="s">
        <v>42</v>
      </c>
      <c r="G4" s="4" t="s">
        <v>6</v>
      </c>
      <c r="H4" s="6">
        <v>33987</v>
      </c>
      <c r="I4" s="3" t="s">
        <v>46</v>
      </c>
      <c r="J4" s="3" t="s">
        <v>28</v>
      </c>
    </row>
    <row r="5" spans="1:10" ht="15">
      <c r="A5" s="4">
        <v>21</v>
      </c>
      <c r="B5" s="14" t="s">
        <v>7</v>
      </c>
      <c r="C5" s="15" t="str">
        <f>LEFT(B5,SEARCH(" ",B5)-1)</f>
        <v>Ujen</v>
      </c>
      <c r="D5" s="15" t="str">
        <f>RIGHT(B5,LEN(B5)-SEARCH(" ",B5))</f>
        <v xml:space="preserve">Norbu Gurung </v>
      </c>
      <c r="E5" s="4" t="s">
        <v>53</v>
      </c>
      <c r="F5" s="4" t="s">
        <v>42</v>
      </c>
      <c r="G5" s="4" t="s">
        <v>44</v>
      </c>
      <c r="H5" s="7">
        <v>32674</v>
      </c>
      <c r="I5" s="3" t="s">
        <v>47</v>
      </c>
      <c r="J5" s="3" t="s">
        <v>29</v>
      </c>
    </row>
    <row r="6" spans="1:10" ht="15">
      <c r="A6" s="4">
        <v>23</v>
      </c>
      <c r="B6" s="14" t="s">
        <v>8</v>
      </c>
      <c r="C6" s="15" t="str">
        <f>LEFT(B6,SEARCH(" ",B6)-1)</f>
        <v>Saurav</v>
      </c>
      <c r="D6" s="15" t="str">
        <f>RIGHT(B6,LEN(B6)-SEARCH(" ",B6))</f>
        <v>shrestha</v>
      </c>
      <c r="E6" s="4" t="s">
        <v>53</v>
      </c>
      <c r="F6" s="4" t="s">
        <v>42</v>
      </c>
      <c r="G6" s="4" t="s">
        <v>44</v>
      </c>
      <c r="H6" s="8">
        <v>34528</v>
      </c>
      <c r="I6" s="3" t="s">
        <v>47</v>
      </c>
      <c r="J6" s="3" t="s">
        <v>30</v>
      </c>
    </row>
    <row r="7" spans="1:10" ht="15">
      <c r="A7" s="4">
        <v>5</v>
      </c>
      <c r="B7" s="14" t="s">
        <v>9</v>
      </c>
      <c r="C7" s="15" t="str">
        <f>LEFT(B7,SEARCH(" ",B7)-1)</f>
        <v>Bikram</v>
      </c>
      <c r="D7" s="15" t="str">
        <f>RIGHT(B7,LEN(B7)-SEARCH(" ",B7))</f>
        <v>Dangol</v>
      </c>
      <c r="E7" s="4" t="s">
        <v>53</v>
      </c>
      <c r="F7" s="4" t="s">
        <v>42</v>
      </c>
      <c r="G7" s="4" t="s">
        <v>6</v>
      </c>
      <c r="H7" s="8">
        <v>33573</v>
      </c>
      <c r="I7" s="3" t="s">
        <v>48</v>
      </c>
      <c r="J7" s="3" t="s">
        <v>31</v>
      </c>
    </row>
    <row r="8" spans="1:10" ht="15">
      <c r="A8" s="4">
        <v>4</v>
      </c>
      <c r="B8" s="14" t="s">
        <v>16</v>
      </c>
      <c r="C8" s="15" t="str">
        <f>LEFT(B8,SEARCH(" ",B8)-1)</f>
        <v>Abhishek</v>
      </c>
      <c r="D8" s="15" t="str">
        <f>RIGHT(B8,LEN(B8)-SEARCH(" ",B8))</f>
        <v>Singh</v>
      </c>
      <c r="E8" s="4" t="s">
        <v>53</v>
      </c>
      <c r="F8" s="4" t="s">
        <v>42</v>
      </c>
      <c r="G8" s="4" t="s">
        <v>17</v>
      </c>
      <c r="H8" s="8">
        <v>36798</v>
      </c>
      <c r="I8" s="3" t="s">
        <v>51</v>
      </c>
      <c r="J8" s="3" t="s">
        <v>35</v>
      </c>
    </row>
    <row r="9" spans="1:10" ht="15">
      <c r="A9" s="4">
        <v>29</v>
      </c>
      <c r="B9" s="14" t="s">
        <v>10</v>
      </c>
      <c r="C9" s="15" t="str">
        <f t="shared" si="0"/>
        <v>Prasang</v>
      </c>
      <c r="D9" s="15" t="str">
        <f t="shared" si="1"/>
        <v>Dhoj Maskey</v>
      </c>
      <c r="E9" s="4" t="s">
        <v>53</v>
      </c>
      <c r="F9" s="4" t="s">
        <v>42</v>
      </c>
      <c r="G9" s="4" t="s">
        <v>11</v>
      </c>
      <c r="H9" s="8">
        <v>36697</v>
      </c>
      <c r="I9" s="3" t="s">
        <v>49</v>
      </c>
      <c r="J9" s="3" t="s">
        <v>32</v>
      </c>
    </row>
    <row r="10" spans="1:10" ht="15">
      <c r="A10" s="4">
        <v>7</v>
      </c>
      <c r="B10" s="14" t="s">
        <v>4</v>
      </c>
      <c r="C10" s="15" t="str">
        <f t="shared" ref="C10:C14" si="2">LEFT(B10,SEARCH(" ",B10)-1)</f>
        <v>Ashim</v>
      </c>
      <c r="D10" s="15" t="str">
        <f t="shared" ref="D10:D14" si="3">RIGHT(B10,LEN(B10)-SEARCH(" ",B10))</f>
        <v>Thapa</v>
      </c>
      <c r="E10" s="4" t="s">
        <v>53</v>
      </c>
      <c r="F10" s="4" t="s">
        <v>42</v>
      </c>
      <c r="G10" s="4" t="s">
        <v>45</v>
      </c>
      <c r="H10" s="5">
        <v>86.090381944444445</v>
      </c>
      <c r="I10" s="3" t="s">
        <v>46</v>
      </c>
      <c r="J10" s="3" t="s">
        <v>26</v>
      </c>
    </row>
    <row r="11" spans="1:10" ht="15">
      <c r="A11" s="4">
        <v>22</v>
      </c>
      <c r="B11" s="14" t="s">
        <v>14</v>
      </c>
      <c r="C11" s="15" t="str">
        <f t="shared" si="2"/>
        <v>Kalsang</v>
      </c>
      <c r="D11" s="15" t="str">
        <f t="shared" si="3"/>
        <v xml:space="preserve">Nuru Sherpa </v>
      </c>
      <c r="E11" s="4" t="s">
        <v>53</v>
      </c>
      <c r="F11" s="4" t="s">
        <v>42</v>
      </c>
      <c r="G11" s="4" t="s">
        <v>15</v>
      </c>
      <c r="H11" s="8">
        <v>38560</v>
      </c>
      <c r="I11" s="3" t="s">
        <v>49</v>
      </c>
      <c r="J11" s="3" t="s">
        <v>34</v>
      </c>
    </row>
    <row r="12" spans="1:10" ht="15">
      <c r="A12" s="4">
        <v>77</v>
      </c>
      <c r="B12" s="14" t="s">
        <v>21</v>
      </c>
      <c r="C12" s="15" t="str">
        <f t="shared" si="2"/>
        <v>Tenzing</v>
      </c>
      <c r="D12" s="15" t="str">
        <f t="shared" si="3"/>
        <v>sonam</v>
      </c>
      <c r="E12" s="4" t="s">
        <v>53</v>
      </c>
      <c r="F12" s="4" t="s">
        <v>42</v>
      </c>
      <c r="G12" s="4" t="s">
        <v>22</v>
      </c>
      <c r="H12" s="8">
        <v>36278</v>
      </c>
      <c r="I12" s="3" t="s">
        <v>52</v>
      </c>
      <c r="J12" s="3" t="s">
        <v>36</v>
      </c>
    </row>
    <row r="13" spans="1:10" ht="15">
      <c r="A13" s="4">
        <v>18</v>
      </c>
      <c r="B13" s="14" t="s">
        <v>23</v>
      </c>
      <c r="C13" s="15" t="str">
        <f>LEFT(B13,SEARCH(" ",B13)-1)</f>
        <v>Ajar</v>
      </c>
      <c r="D13" s="15" t="str">
        <f>RIGHT(B13,LEN(B13)-SEARCH(" ",B13))</f>
        <v>Shrestha</v>
      </c>
      <c r="E13" s="4" t="s">
        <v>53</v>
      </c>
      <c r="F13" s="4" t="s">
        <v>42</v>
      </c>
      <c r="G13" s="4" t="s">
        <v>24</v>
      </c>
      <c r="H13" s="8">
        <v>38936</v>
      </c>
      <c r="I13" s="3" t="s">
        <v>51</v>
      </c>
      <c r="J13" s="3" t="s">
        <v>37</v>
      </c>
    </row>
    <row r="14" spans="1:10" ht="15">
      <c r="A14" t="s">
        <v>55</v>
      </c>
      <c r="B14" s="14" t="s">
        <v>59</v>
      </c>
      <c r="C14" s="15" t="str">
        <f t="shared" si="2"/>
        <v>Prem</v>
      </c>
      <c r="D14" s="15" t="str">
        <f t="shared" si="3"/>
        <v>Sundar Hona</v>
      </c>
      <c r="E14" s="4" t="s">
        <v>53</v>
      </c>
      <c r="F14" s="4" t="s">
        <v>42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selection activeCell="J9" sqref="J9"/>
    </sheetView>
  </sheetViews>
  <sheetFormatPr defaultRowHeight="14.25"/>
  <cols>
    <col min="2" max="2" width="15.75" customWidth="1"/>
    <col min="3" max="3" width="20" customWidth="1"/>
    <col min="4" max="4" width="16.5" customWidth="1"/>
    <col min="5" max="5" width="18.375" customWidth="1"/>
    <col min="6" max="6" width="13.625" customWidth="1"/>
    <col min="8" max="8" width="11.375" bestFit="1" customWidth="1"/>
  </cols>
  <sheetData>
    <row r="1" spans="1:16" ht="15.75">
      <c r="A1" s="2" t="s">
        <v>43</v>
      </c>
      <c r="B1" s="1" t="s">
        <v>0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1</v>
      </c>
      <c r="H1" s="2" t="s">
        <v>2</v>
      </c>
      <c r="I1" s="1" t="s">
        <v>3</v>
      </c>
      <c r="J1" s="1" t="s">
        <v>25</v>
      </c>
    </row>
    <row r="2" spans="1:16" ht="15">
      <c r="A2" s="4">
        <v>35</v>
      </c>
      <c r="B2" s="14" t="s">
        <v>54</v>
      </c>
      <c r="C2" s="4" t="str">
        <f>LEFT(B2,SEARCH(" ",B2)-1)</f>
        <v>Shivam</v>
      </c>
      <c r="D2" s="4" t="str">
        <f>RIGHT(B2,LEN(B2)-SEARCH(" ",B2))</f>
        <v>Yadav</v>
      </c>
      <c r="E2" s="4" t="s">
        <v>53</v>
      </c>
      <c r="F2" s="4" t="s">
        <v>42</v>
      </c>
      <c r="G2" s="4" t="s">
        <v>13</v>
      </c>
      <c r="H2" s="13">
        <v>59223</v>
      </c>
      <c r="I2" s="4" t="s">
        <v>58</v>
      </c>
      <c r="J2" s="3" t="str">
        <f>A2&amp;".png"</f>
        <v>35.png</v>
      </c>
    </row>
    <row r="3" spans="1:16" ht="15">
      <c r="A3" s="12">
        <v>31</v>
      </c>
      <c r="B3" s="11" t="s">
        <v>56</v>
      </c>
      <c r="C3" s="4" t="str">
        <f>LEFT(B3,SEARCH(" ",B3)-1)</f>
        <v>Harsh</v>
      </c>
      <c r="D3" s="4" t="str">
        <f>RIGHT(B3,LEN(B3)-SEARCH(" ",B3))</f>
        <v xml:space="preserve">Rao </v>
      </c>
      <c r="E3" s="4" t="s">
        <v>53</v>
      </c>
      <c r="F3" s="4" t="s">
        <v>42</v>
      </c>
      <c r="G3" s="12" t="s">
        <v>13</v>
      </c>
      <c r="H3" s="12" t="s">
        <v>57</v>
      </c>
      <c r="J3" s="3" t="str">
        <f>A3&amp;".png"</f>
        <v>31.png</v>
      </c>
    </row>
    <row r="10" spans="1:16" ht="15">
      <c r="L10" s="11"/>
      <c r="M10" s="12"/>
      <c r="N10" s="12"/>
      <c r="O10" s="12"/>
      <c r="P1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2026-03-16T12:25:50Z</dcterms:modified>
</cp:coreProperties>
</file>