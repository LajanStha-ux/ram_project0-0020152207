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Royal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2" l="1"/>
  <c r="D7" i="2"/>
  <c r="C7" i="2"/>
  <c r="J13" i="1" l="1"/>
  <c r="D13" i="1"/>
  <c r="C13" i="1"/>
  <c r="J6" i="2"/>
  <c r="D6" i="2"/>
  <c r="C6" i="2"/>
  <c r="J5" i="2"/>
  <c r="D5" i="2"/>
  <c r="C5" i="2"/>
  <c r="J3" i="1"/>
  <c r="D3" i="1"/>
  <c r="C3" i="1"/>
  <c r="D8" i="1" l="1"/>
  <c r="C8" i="1"/>
  <c r="J8" i="1"/>
  <c r="D3" i="2"/>
  <c r="D4" i="2"/>
  <c r="C3" i="2"/>
  <c r="C4" i="2"/>
  <c r="J3" i="2"/>
  <c r="J4" i="2"/>
  <c r="J2" i="2"/>
  <c r="D2" i="2"/>
  <c r="C2" i="2"/>
  <c r="C14" i="1"/>
  <c r="D14" i="1"/>
  <c r="J4" i="1" l="1"/>
  <c r="J2" i="1"/>
  <c r="J7" i="1"/>
  <c r="J5" i="1"/>
  <c r="J10" i="1"/>
  <c r="J11" i="1"/>
  <c r="J12" i="1"/>
  <c r="J9" i="1"/>
  <c r="J6" i="1"/>
  <c r="D4" i="1" l="1"/>
  <c r="D2" i="1"/>
  <c r="D7" i="1"/>
  <c r="D5" i="1"/>
  <c r="D10" i="1"/>
  <c r="D11" i="1"/>
  <c r="D12" i="1"/>
  <c r="D9" i="1"/>
  <c r="C4" i="1"/>
  <c r="C2" i="1"/>
  <c r="C7" i="1"/>
  <c r="C5" i="1"/>
  <c r="C10" i="1"/>
  <c r="C11" i="1"/>
  <c r="C12" i="1"/>
  <c r="C9" i="1"/>
  <c r="D6" i="1"/>
  <c r="C6" i="1"/>
</calcChain>
</file>

<file path=xl/sharedStrings.xml><?xml version="1.0" encoding="utf-8"?>
<sst xmlns="http://schemas.openxmlformats.org/spreadsheetml/2006/main" count="114" uniqueCount="50">
  <si>
    <t>Name</t>
  </si>
  <si>
    <t>Position</t>
  </si>
  <si>
    <t>DOB</t>
  </si>
  <si>
    <t>Height</t>
  </si>
  <si>
    <t>PG/SG</t>
  </si>
  <si>
    <t>SG</t>
  </si>
  <si>
    <t>C</t>
  </si>
  <si>
    <t>Picture</t>
  </si>
  <si>
    <t>First Name</t>
  </si>
  <si>
    <t>Last Name</t>
  </si>
  <si>
    <t>Team</t>
  </si>
  <si>
    <t>Team Logo</t>
  </si>
  <si>
    <t>Jersey</t>
  </si>
  <si>
    <t>PG</t>
  </si>
  <si>
    <t>5'7"</t>
  </si>
  <si>
    <t>5'9"</t>
  </si>
  <si>
    <t>6'1"</t>
  </si>
  <si>
    <t>Royal</t>
  </si>
  <si>
    <t>Royal.png</t>
  </si>
  <si>
    <t>ROBIN BASNET</t>
  </si>
  <si>
    <t>AASHISH BASNET</t>
  </si>
  <si>
    <t>BISHWARAJ GURUNG</t>
  </si>
  <si>
    <t>BISHAL SUBEDI</t>
  </si>
  <si>
    <t>BISHAL GURUNG</t>
  </si>
  <si>
    <t>ROJESH MAHARJAN</t>
  </si>
  <si>
    <t>RAVI PAUDEL</t>
  </si>
  <si>
    <t>ANIL PUN ARMAJA</t>
  </si>
  <si>
    <t>AADIT SINGH THAPA</t>
  </si>
  <si>
    <t>SHREEYUKTA SHAH</t>
  </si>
  <si>
    <t>SAMRIDDHA MAHARJAN</t>
  </si>
  <si>
    <t>BUDDHA SUNAR</t>
  </si>
  <si>
    <t>SF</t>
  </si>
  <si>
    <t>PG/SG/SF</t>
  </si>
  <si>
    <t>SG/SF</t>
  </si>
  <si>
    <t>5'10"</t>
  </si>
  <si>
    <t>5'6"</t>
  </si>
  <si>
    <t>7'0"</t>
  </si>
  <si>
    <t>5'11.5"</t>
  </si>
  <si>
    <t>5'2"</t>
  </si>
  <si>
    <t>5'8"</t>
  </si>
  <si>
    <t>6'0"</t>
  </si>
  <si>
    <t>Coach</t>
  </si>
  <si>
    <t>Nripesh Shrestha</t>
  </si>
  <si>
    <t>6'2"</t>
  </si>
  <si>
    <t>SHUVAM SAINJU</t>
  </si>
  <si>
    <t>C/PF</t>
  </si>
  <si>
    <t>6'3"</t>
  </si>
  <si>
    <t>KESHAV YOGI</t>
  </si>
  <si>
    <t>PRATHAM SHRESTHA</t>
  </si>
  <si>
    <t>Robin Basnet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</si>
</sst>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14" fontId="2" fillId="0" borderId="0" xfId="0" applyNumberFormat="1" applyFont="1" applyBorder="1" applyAlignment="1">
      <alignment horizontal="left" vertical="center" wrapText="1" indent="1" readingOrder="1"/>
    </xf>
    <xf numFmtId="0" fontId="4" fillId="0" borderId="0" xfId="0" applyFont="1" applyFill="1" applyBorder="1"/>
    <xf numFmtId="0" fontId="3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2" fillId="0" borderId="0" xfId="0" applyFont="1" applyFill="1" applyBorder="1" applyAlignment="1">
      <alignment horizontal="left" vertical="center" readingOrder="1"/>
    </xf>
    <xf numFmtId="14" fontId="2" fillId="0" borderId="0" xfId="0" applyNumberFormat="1" applyFont="1" applyFill="1" applyBorder="1" applyAlignment="1">
      <alignment horizontal="left" vertical="center" readingOrder="1"/>
    </xf>
    <xf numFmtId="0" fontId="5" fillId="0" borderId="0" xfId="0" applyFont="1" applyFill="1" applyBorder="1" applyAlignment="1"/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0" borderId="0" xfId="0" applyFont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7" fillId="0" borderId="0" xfId="0" applyFont="1" applyFill="1"/>
    <xf numFmtId="0" fontId="6" fillId="2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readingOrder="1"/>
    </xf>
    <xf numFmtId="0" fontId="4" fillId="0" borderId="0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2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horizontal="right" vertical="center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5" fillId="0" borderId="2" xfId="0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left" vertical="center" wrapText="1" indent="1" readingOrder="1"/>
    </xf>
    <xf numFmtId="0" fontId="5" fillId="0" borderId="2" xfId="0" applyFont="1" applyFill="1" applyBorder="1"/>
    <xf numFmtId="0" fontId="2" fillId="0" borderId="2" xfId="0" applyFont="1" applyFill="1" applyBorder="1" applyAlignment="1">
      <alignment horizontal="left" vertical="center" wrapText="1" readingOrder="1"/>
    </xf>
    <xf numFmtId="0" fontId="5" fillId="0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0" fillId="0" borderId="2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64" fontId="6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2" fillId="0" borderId="2" xfId="0" applyFont="1" applyFill="1" applyBorder="1" applyAlignment="1">
      <alignment horizontal="center" vertical="center" readingOrder="1"/>
    </xf>
    <xf numFmtId="0" fontId="2" fillId="0" borderId="2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readingOrder="1"/>
    </xf>
    <xf numFmtId="0" fontId="2" fillId="0" borderId="0" xfId="0" applyFont="1" applyFill="1" applyBorder="1" applyAlignment="1">
      <alignment horizontal="center" vertical="center" readingOrder="1"/>
    </xf>
    <xf numFmtId="14" fontId="2" fillId="0" borderId="2" xfId="0" applyNumberFormat="1" applyFont="1" applyFill="1" applyBorder="1" applyAlignment="1">
      <alignment horizontal="center" vertical="center" wrapText="1" readingOrder="1"/>
    </xf>
    <xf numFmtId="14" fontId="2" fillId="0" borderId="0" xfId="0" applyNumberFormat="1" applyFont="1" applyFill="1" applyBorder="1" applyAlignment="1">
      <alignment horizontal="center" vertical="center" readingOrder="1"/>
    </xf>
    <xf numFmtId="0" fontId="5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A7" sqref="A7"/>
    </sheetView>
  </sheetViews>
  <sheetFormatPr defaultRowHeight="14.25"/>
  <cols>
    <col min="2" max="2" width="24.75" bestFit="1" customWidth="1"/>
    <col min="3" max="3" width="14.5" bestFit="1" customWidth="1"/>
    <col min="4" max="4" width="14.375" bestFit="1" customWidth="1"/>
    <col min="5" max="5" width="9.75" customWidth="1"/>
    <col min="6" max="6" width="11.875" bestFit="1" customWidth="1"/>
    <col min="7" max="7" width="16.375" customWidth="1"/>
    <col min="8" max="8" width="15.875" bestFit="1" customWidth="1"/>
    <col min="9" max="9" width="6.75" bestFit="1" customWidth="1"/>
    <col min="10" max="10" width="13" customWidth="1"/>
  </cols>
  <sheetData>
    <row r="1" spans="1:10" ht="15.75">
      <c r="A1" s="21" t="s">
        <v>12</v>
      </c>
      <c r="B1" s="22" t="s">
        <v>0</v>
      </c>
      <c r="C1" s="21" t="s">
        <v>8</v>
      </c>
      <c r="D1" s="21" t="s">
        <v>9</v>
      </c>
      <c r="E1" s="21" t="s">
        <v>10</v>
      </c>
      <c r="F1" s="21" t="s">
        <v>11</v>
      </c>
      <c r="G1" s="21" t="s">
        <v>1</v>
      </c>
      <c r="H1" s="21" t="s">
        <v>2</v>
      </c>
      <c r="I1" s="23" t="s">
        <v>3</v>
      </c>
      <c r="J1" s="22" t="s">
        <v>7</v>
      </c>
    </row>
    <row r="2" spans="1:10" s="5" customFormat="1" ht="15">
      <c r="A2" s="39">
        <v>3</v>
      </c>
      <c r="B2" s="29" t="s">
        <v>24</v>
      </c>
      <c r="C2" s="45" t="str">
        <f t="shared" ref="C2:C12" si="0">LEFT(B2,SEARCH(" ",B2)-1)</f>
        <v>ROJESH</v>
      </c>
      <c r="D2" s="45" t="str">
        <f t="shared" ref="D2:D12" si="1">RIGHT(B2,LEN(B2)-SEARCH(" ",B2))</f>
        <v>MAHARJAN</v>
      </c>
      <c r="E2" s="26" t="s">
        <v>17</v>
      </c>
      <c r="F2" s="26" t="s">
        <v>18</v>
      </c>
      <c r="G2" s="40" t="s">
        <v>13</v>
      </c>
      <c r="H2" s="43">
        <v>56612</v>
      </c>
      <c r="I2" s="25" t="s">
        <v>38</v>
      </c>
      <c r="J2" s="26" t="str">
        <f t="shared" ref="J2:J12" si="2">A2&amp;".png"</f>
        <v>3.png</v>
      </c>
    </row>
    <row r="3" spans="1:10" ht="15">
      <c r="A3" s="19">
        <v>4</v>
      </c>
      <c r="B3" s="8" t="s">
        <v>25</v>
      </c>
      <c r="C3" s="47" t="str">
        <f>LEFT(B3,SEARCH(" ",B3)-1)</f>
        <v>RAVI</v>
      </c>
      <c r="D3" s="47" t="str">
        <f>RIGHT(B3,LEN(B3)-SEARCH(" ",B3))</f>
        <v>PAUDEL</v>
      </c>
      <c r="E3" s="1" t="s">
        <v>17</v>
      </c>
      <c r="F3" s="1" t="s">
        <v>18</v>
      </c>
      <c r="G3" s="42" t="s">
        <v>32</v>
      </c>
      <c r="H3" s="44">
        <v>56902</v>
      </c>
      <c r="I3" s="8" t="s">
        <v>34</v>
      </c>
      <c r="J3" s="1" t="str">
        <f>A3&amp;".png"</f>
        <v>4.png</v>
      </c>
    </row>
    <row r="4" spans="1:10" s="20" customFormat="1" ht="15">
      <c r="A4" s="40">
        <v>9</v>
      </c>
      <c r="B4" s="29" t="s">
        <v>23</v>
      </c>
      <c r="C4" s="46" t="str">
        <f t="shared" si="0"/>
        <v>BISHAL</v>
      </c>
      <c r="D4" s="46" t="str">
        <f t="shared" si="1"/>
        <v>GURUNG</v>
      </c>
      <c r="E4" s="30" t="s">
        <v>17</v>
      </c>
      <c r="F4" s="30" t="s">
        <v>18</v>
      </c>
      <c r="G4" s="40" t="s">
        <v>31</v>
      </c>
      <c r="H4" s="43">
        <v>56616</v>
      </c>
      <c r="I4" s="29" t="s">
        <v>37</v>
      </c>
      <c r="J4" s="30" t="str">
        <f t="shared" si="2"/>
        <v>9.png</v>
      </c>
    </row>
    <row r="5" spans="1:10" s="5" customFormat="1" ht="15">
      <c r="A5" s="39">
        <v>13</v>
      </c>
      <c r="B5" s="29" t="s">
        <v>26</v>
      </c>
      <c r="C5" s="45" t="str">
        <f t="shared" si="0"/>
        <v>ANIL</v>
      </c>
      <c r="D5" s="45" t="str">
        <f t="shared" si="1"/>
        <v>PUN ARMAJA</v>
      </c>
      <c r="E5" s="26" t="s">
        <v>17</v>
      </c>
      <c r="F5" s="26" t="s">
        <v>18</v>
      </c>
      <c r="G5" s="40" t="s">
        <v>31</v>
      </c>
      <c r="H5" s="43">
        <v>60129</v>
      </c>
      <c r="I5" s="25" t="s">
        <v>15</v>
      </c>
      <c r="J5" s="26" t="str">
        <f t="shared" si="2"/>
        <v>13.png</v>
      </c>
    </row>
    <row r="6" spans="1:10" s="5" customFormat="1" ht="15">
      <c r="A6" s="39">
        <v>15</v>
      </c>
      <c r="B6" s="29" t="s">
        <v>20</v>
      </c>
      <c r="C6" s="45" t="str">
        <f t="shared" si="0"/>
        <v>AASHISH</v>
      </c>
      <c r="D6" s="45" t="str">
        <f t="shared" si="1"/>
        <v>BASNET</v>
      </c>
      <c r="E6" s="26" t="s">
        <v>17</v>
      </c>
      <c r="F6" s="26" t="s">
        <v>18</v>
      </c>
      <c r="G6" s="40" t="s">
        <v>13</v>
      </c>
      <c r="H6" s="43">
        <v>57792</v>
      </c>
      <c r="I6" s="25" t="s">
        <v>35</v>
      </c>
      <c r="J6" s="26" t="str">
        <f t="shared" si="2"/>
        <v>15.png</v>
      </c>
    </row>
    <row r="7" spans="1:10" s="5" customFormat="1" ht="15">
      <c r="A7" s="39">
        <v>5</v>
      </c>
      <c r="B7" s="29" t="s">
        <v>29</v>
      </c>
      <c r="C7" s="45" t="str">
        <f t="shared" si="0"/>
        <v>SAMRIDDHA</v>
      </c>
      <c r="D7" s="45" t="str">
        <f t="shared" si="1"/>
        <v>MAHARJAN</v>
      </c>
      <c r="E7" s="26" t="s">
        <v>17</v>
      </c>
      <c r="F7" s="26" t="s">
        <v>18</v>
      </c>
      <c r="G7" s="40" t="s">
        <v>33</v>
      </c>
      <c r="H7" s="43">
        <v>56061</v>
      </c>
      <c r="I7" s="25" t="s">
        <v>39</v>
      </c>
      <c r="J7" s="26" t="str">
        <f t="shared" si="2"/>
        <v>5.png</v>
      </c>
    </row>
    <row r="8" spans="1:10" s="5" customFormat="1" ht="15">
      <c r="A8" s="39">
        <v>6</v>
      </c>
      <c r="B8" s="29" t="s">
        <v>48</v>
      </c>
      <c r="C8" s="45" t="str">
        <f t="shared" si="0"/>
        <v>PRATHAM</v>
      </c>
      <c r="D8" s="45" t="str">
        <f t="shared" si="1"/>
        <v>SHRESTHA</v>
      </c>
      <c r="E8" s="26" t="s">
        <v>17</v>
      </c>
      <c r="F8" s="26" t="s">
        <v>18</v>
      </c>
      <c r="G8" s="31" t="s">
        <v>6</v>
      </c>
      <c r="H8" s="43">
        <v>59699</v>
      </c>
      <c r="I8" s="25" t="s">
        <v>43</v>
      </c>
      <c r="J8" s="26" t="str">
        <f t="shared" si="2"/>
        <v>6.png</v>
      </c>
    </row>
    <row r="9" spans="1:10" s="5" customFormat="1" ht="15">
      <c r="A9" s="39">
        <v>11</v>
      </c>
      <c r="B9" s="29" t="s">
        <v>22</v>
      </c>
      <c r="C9" s="45" t="str">
        <f t="shared" si="0"/>
        <v>BISHAL</v>
      </c>
      <c r="D9" s="45" t="str">
        <f t="shared" si="1"/>
        <v>SUBEDI</v>
      </c>
      <c r="E9" s="26" t="s">
        <v>17</v>
      </c>
      <c r="F9" s="26" t="s">
        <v>18</v>
      </c>
      <c r="G9" s="40" t="s">
        <v>6</v>
      </c>
      <c r="H9" s="43">
        <v>57472</v>
      </c>
      <c r="I9" s="25" t="s">
        <v>36</v>
      </c>
      <c r="J9" s="26" t="str">
        <f t="shared" si="2"/>
        <v>11.png</v>
      </c>
    </row>
    <row r="10" spans="1:10" s="5" customFormat="1" ht="15">
      <c r="A10" s="39">
        <v>12</v>
      </c>
      <c r="B10" s="29" t="s">
        <v>21</v>
      </c>
      <c r="C10" s="45" t="str">
        <f t="shared" si="0"/>
        <v>BISHWARAJ</v>
      </c>
      <c r="D10" s="45" t="str">
        <f t="shared" si="1"/>
        <v>GURUNG</v>
      </c>
      <c r="E10" s="26" t="s">
        <v>17</v>
      </c>
      <c r="F10" s="26" t="s">
        <v>18</v>
      </c>
      <c r="G10" s="40" t="s">
        <v>4</v>
      </c>
      <c r="H10" s="43">
        <v>57651</v>
      </c>
      <c r="I10" s="25" t="s">
        <v>14</v>
      </c>
      <c r="J10" s="26" t="str">
        <f t="shared" si="2"/>
        <v>12.png</v>
      </c>
    </row>
    <row r="11" spans="1:10" s="5" customFormat="1" ht="15">
      <c r="A11" s="39">
        <v>7</v>
      </c>
      <c r="B11" s="29" t="s">
        <v>19</v>
      </c>
      <c r="C11" s="45" t="str">
        <f t="shared" si="0"/>
        <v>ROBIN</v>
      </c>
      <c r="D11" s="45" t="str">
        <f t="shared" si="1"/>
        <v>BASNET</v>
      </c>
      <c r="E11" s="26" t="s">
        <v>17</v>
      </c>
      <c r="F11" s="26" t="s">
        <v>18</v>
      </c>
      <c r="G11" s="40" t="s">
        <v>31</v>
      </c>
      <c r="H11" s="43">
        <v>55891</v>
      </c>
      <c r="I11" s="25" t="s">
        <v>34</v>
      </c>
      <c r="J11" s="26" t="str">
        <f t="shared" si="2"/>
        <v>7.png</v>
      </c>
    </row>
    <row r="12" spans="1:10" s="5" customFormat="1" ht="15">
      <c r="A12" s="39">
        <v>30</v>
      </c>
      <c r="B12" s="29" t="s">
        <v>30</v>
      </c>
      <c r="C12" s="45" t="str">
        <f t="shared" si="0"/>
        <v>BUDDHA</v>
      </c>
      <c r="D12" s="45" t="str">
        <f t="shared" si="1"/>
        <v>SUNAR</v>
      </c>
      <c r="E12" s="26" t="s">
        <v>17</v>
      </c>
      <c r="F12" s="26" t="s">
        <v>18</v>
      </c>
      <c r="G12" s="40" t="s">
        <v>31</v>
      </c>
      <c r="H12" s="43">
        <v>60468</v>
      </c>
      <c r="I12" s="25" t="s">
        <v>40</v>
      </c>
      <c r="J12" s="26" t="str">
        <f t="shared" si="2"/>
        <v>30.png</v>
      </c>
    </row>
    <row r="13" spans="1:10" ht="15">
      <c r="A13" s="41">
        <v>24</v>
      </c>
      <c r="B13" s="36" t="s">
        <v>47</v>
      </c>
      <c r="C13" s="47" t="str">
        <f t="shared" ref="C13" si="3">LEFT(B13,SEARCH(" ",B13)-1)</f>
        <v>KESHAV</v>
      </c>
      <c r="D13" s="47" t="str">
        <f t="shared" ref="D13" si="4">RIGHT(B13,LEN(B13)-SEARCH(" ",B13))</f>
        <v>YOGI</v>
      </c>
      <c r="E13" s="1" t="s">
        <v>17</v>
      </c>
      <c r="F13" s="1" t="s">
        <v>18</v>
      </c>
      <c r="G13" s="35" t="s">
        <v>4</v>
      </c>
      <c r="H13" s="37">
        <v>55212</v>
      </c>
      <c r="I13" s="8" t="s">
        <v>34</v>
      </c>
      <c r="J13" s="1" t="str">
        <f t="shared" ref="J13" si="5">A13&amp;".png"</f>
        <v>24.png</v>
      </c>
    </row>
    <row r="14" spans="1:10" ht="15">
      <c r="A14" s="32" t="s">
        <v>41</v>
      </c>
      <c r="B14" s="48" t="s">
        <v>42</v>
      </c>
      <c r="C14" s="45" t="str">
        <f>LEFT(B14,SEARCH(" ",B14)-1)</f>
        <v>Nripesh</v>
      </c>
      <c r="D14" s="45" t="str">
        <f>RIGHT(B14,LEN(B14)-SEARCH(" ",B14))</f>
        <v>Shrestha</v>
      </c>
      <c r="E14" s="26" t="s">
        <v>17</v>
      </c>
      <c r="F14" s="26" t="s">
        <v>18</v>
      </c>
      <c r="G14" s="32"/>
      <c r="H14" s="32"/>
      <c r="I14" s="32"/>
      <c r="J14" s="32"/>
    </row>
    <row r="21" spans="3:8" ht="15">
      <c r="C21" s="3"/>
      <c r="D21" s="3"/>
      <c r="E21" s="3"/>
      <c r="F21" s="3"/>
      <c r="G21" s="3"/>
      <c r="H21" s="6"/>
    </row>
    <row r="22" spans="3:8" ht="15">
      <c r="C22" s="3"/>
      <c r="D22" s="2"/>
      <c r="E22" s="2"/>
      <c r="F22" s="4"/>
      <c r="G22" s="2"/>
      <c r="H22" s="7"/>
    </row>
    <row r="23" spans="3:8" ht="15">
      <c r="C23" s="3"/>
      <c r="D23" s="2"/>
      <c r="E23" s="2"/>
      <c r="F23" s="4"/>
      <c r="G23" s="2"/>
      <c r="H23" s="7"/>
    </row>
    <row r="24" spans="3:8" ht="15">
      <c r="C24" s="3"/>
      <c r="D24" s="2"/>
      <c r="E24" s="2"/>
      <c r="F24" s="4"/>
      <c r="G24" s="2"/>
      <c r="H24" s="7"/>
    </row>
    <row r="25" spans="3:8" ht="15">
      <c r="C25" s="3"/>
      <c r="D25" s="2"/>
      <c r="E25" s="2"/>
      <c r="F25" s="4"/>
      <c r="G25" s="2"/>
      <c r="H25" s="7"/>
    </row>
    <row r="26" spans="3:8" ht="15">
      <c r="C26" s="3"/>
      <c r="D26" s="2"/>
      <c r="E26" s="2"/>
      <c r="F26" s="4"/>
      <c r="G26" s="2"/>
      <c r="H26" s="7"/>
    </row>
    <row r="27" spans="3:8" ht="15">
      <c r="C27" s="3"/>
      <c r="D27" s="2"/>
      <c r="E27" s="2"/>
      <c r="F27" s="4"/>
      <c r="G27" s="2"/>
      <c r="H27" s="7"/>
    </row>
    <row r="28" spans="3:8" ht="15">
      <c r="C28" s="3"/>
      <c r="D28" s="2"/>
      <c r="E28" s="2"/>
      <c r="F28" s="4"/>
      <c r="G28" s="2"/>
      <c r="H28" s="7"/>
    </row>
    <row r="29" spans="3:8" ht="15">
      <c r="C29" s="3"/>
      <c r="D29" s="2"/>
      <c r="E29" s="2"/>
      <c r="F29" s="4"/>
      <c r="G29" s="2"/>
      <c r="H29" s="7"/>
    </row>
    <row r="30" spans="3:8" ht="15">
      <c r="C30" s="3"/>
      <c r="D30" s="2"/>
      <c r="E30" s="2"/>
      <c r="F30" s="4"/>
      <c r="G30" s="2"/>
      <c r="H30" s="7"/>
    </row>
    <row r="31" spans="3:8" ht="15">
      <c r="C31" s="3"/>
      <c r="D31" s="2"/>
      <c r="E31" s="2"/>
      <c r="F31" s="4"/>
      <c r="G31" s="2"/>
      <c r="H31" s="7"/>
    </row>
    <row r="32" spans="3:8" ht="15">
      <c r="C32" s="3"/>
      <c r="D32" s="2"/>
      <c r="E32" s="2"/>
      <c r="F32" s="4"/>
      <c r="G32" s="2"/>
      <c r="H32" s="7"/>
    </row>
    <row r="33" spans="3:8" ht="15">
      <c r="C33" s="3"/>
      <c r="D33" s="2"/>
      <c r="E33" s="2"/>
      <c r="F33" s="4"/>
      <c r="G33" s="2"/>
      <c r="H3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E7" sqref="E7"/>
    </sheetView>
  </sheetViews>
  <sheetFormatPr defaultRowHeight="14.25"/>
  <cols>
    <col min="2" max="2" width="20.125" bestFit="1" customWidth="1"/>
    <col min="3" max="3" width="11.375" bestFit="1" customWidth="1"/>
    <col min="4" max="4" width="11.25" bestFit="1" customWidth="1"/>
    <col min="6" max="6" width="11.875" bestFit="1" customWidth="1"/>
    <col min="7" max="7" width="9.5" bestFit="1" customWidth="1"/>
    <col min="8" max="8" width="11.375" bestFit="1" customWidth="1"/>
    <col min="16" max="16" width="11.375" bestFit="1" customWidth="1"/>
  </cols>
  <sheetData>
    <row r="1" spans="1:17" ht="15.75">
      <c r="A1" s="33" t="s">
        <v>12</v>
      </c>
      <c r="B1" s="34" t="s">
        <v>0</v>
      </c>
      <c r="C1" s="33" t="s">
        <v>8</v>
      </c>
      <c r="D1" s="33" t="s">
        <v>9</v>
      </c>
      <c r="E1" s="33" t="s">
        <v>10</v>
      </c>
      <c r="F1" s="33" t="s">
        <v>11</v>
      </c>
      <c r="G1" s="33" t="s">
        <v>1</v>
      </c>
      <c r="H1" s="33" t="s">
        <v>2</v>
      </c>
      <c r="I1" s="6" t="s">
        <v>3</v>
      </c>
      <c r="J1" s="34" t="s">
        <v>7</v>
      </c>
    </row>
    <row r="2" spans="1:17" ht="15">
      <c r="A2" s="19">
        <v>4</v>
      </c>
      <c r="B2" s="8" t="s">
        <v>25</v>
      </c>
      <c r="C2" s="1" t="str">
        <f>LEFT(B2,SEARCH(" ",B2)-1)</f>
        <v>RAVI</v>
      </c>
      <c r="D2" s="1" t="str">
        <f>RIGHT(B2,LEN(B2)-SEARCH(" ",B2))</f>
        <v>PAUDEL</v>
      </c>
      <c r="E2" s="1" t="s">
        <v>17</v>
      </c>
      <c r="F2" s="1" t="s">
        <v>18</v>
      </c>
      <c r="G2" s="8" t="s">
        <v>32</v>
      </c>
      <c r="H2" s="9">
        <v>56902</v>
      </c>
      <c r="I2" s="8" t="s">
        <v>34</v>
      </c>
      <c r="J2" s="10" t="str">
        <f>A2&amp;".png"</f>
        <v>4.png</v>
      </c>
    </row>
    <row r="3" spans="1:17" ht="15">
      <c r="A3" s="35">
        <v>23</v>
      </c>
      <c r="B3" s="36" t="s">
        <v>44</v>
      </c>
      <c r="C3" s="1" t="str">
        <f t="shared" ref="C3:C4" si="0">LEFT(B3,SEARCH(" ",B3)-1)</f>
        <v>SHUVAM</v>
      </c>
      <c r="D3" s="1" t="str">
        <f t="shared" ref="D3:D4" si="1">RIGHT(B3,LEN(B3)-SEARCH(" ",B3))</f>
        <v>SAINJU</v>
      </c>
      <c r="E3" s="1" t="s">
        <v>17</v>
      </c>
      <c r="F3" s="1" t="s">
        <v>18</v>
      </c>
      <c r="G3" s="35" t="s">
        <v>45</v>
      </c>
      <c r="H3" s="37">
        <v>60669</v>
      </c>
      <c r="I3" s="38" t="s">
        <v>46</v>
      </c>
      <c r="J3" s="10" t="str">
        <f t="shared" ref="J3:J4" si="2">A3&amp;".png"</f>
        <v>23.png</v>
      </c>
    </row>
    <row r="4" spans="1:17" ht="15">
      <c r="A4" s="35">
        <v>24</v>
      </c>
      <c r="B4" s="36" t="s">
        <v>47</v>
      </c>
      <c r="C4" s="1" t="str">
        <f t="shared" si="0"/>
        <v>KESHAV</v>
      </c>
      <c r="D4" s="1" t="str">
        <f t="shared" si="1"/>
        <v>YOGI</v>
      </c>
      <c r="E4" s="1" t="s">
        <v>17</v>
      </c>
      <c r="F4" s="1" t="s">
        <v>18</v>
      </c>
      <c r="G4" s="35" t="s">
        <v>4</v>
      </c>
      <c r="H4" s="37">
        <v>55212</v>
      </c>
      <c r="I4" s="8" t="s">
        <v>34</v>
      </c>
      <c r="J4" s="10" t="str">
        <f t="shared" si="2"/>
        <v>24.png</v>
      </c>
    </row>
    <row r="5" spans="1:17" s="5" customFormat="1" ht="15">
      <c r="A5" s="24">
        <v>10</v>
      </c>
      <c r="B5" s="25" t="s">
        <v>27</v>
      </c>
      <c r="C5" s="26" t="str">
        <f>LEFT(B5,SEARCH(" ",B5)-1)</f>
        <v>AADIT</v>
      </c>
      <c r="D5" s="26" t="str">
        <f>RIGHT(B5,LEN(B5)-SEARCH(" ",B5))</f>
        <v>SINGH THAPA</v>
      </c>
      <c r="E5" s="26" t="s">
        <v>17</v>
      </c>
      <c r="F5" s="26" t="s">
        <v>18</v>
      </c>
      <c r="G5" s="25" t="s">
        <v>5</v>
      </c>
      <c r="H5" s="27">
        <v>60647</v>
      </c>
      <c r="I5" s="25" t="s">
        <v>16</v>
      </c>
      <c r="J5" s="28" t="str">
        <f>A5&amp;".png"</f>
        <v>10.png</v>
      </c>
    </row>
    <row r="6" spans="1:17" s="5" customFormat="1" ht="28.5">
      <c r="A6" s="24">
        <v>28</v>
      </c>
      <c r="B6" s="25" t="s">
        <v>28</v>
      </c>
      <c r="C6" s="26" t="str">
        <f>LEFT(B6,SEARCH(" ",B6)-1)</f>
        <v>SHREEYUKTA</v>
      </c>
      <c r="D6" s="26" t="str">
        <f>RIGHT(B6,LEN(B6)-SEARCH(" ",B6))</f>
        <v>SHAH</v>
      </c>
      <c r="E6" s="26" t="s">
        <v>17</v>
      </c>
      <c r="F6" s="26" t="s">
        <v>18</v>
      </c>
      <c r="G6" s="25" t="s">
        <v>13</v>
      </c>
      <c r="H6" s="27">
        <v>60158</v>
      </c>
      <c r="I6" s="25" t="s">
        <v>16</v>
      </c>
      <c r="J6" s="28" t="str">
        <f>A6&amp;".png"</f>
        <v>28.png</v>
      </c>
    </row>
    <row r="7" spans="1:17" ht="15">
      <c r="A7">
        <v>7</v>
      </c>
      <c r="B7" t="s">
        <v>49</v>
      </c>
      <c r="C7" s="26" t="str">
        <f>LEFT(B7,SEARCH(" ",B7)-1)</f>
        <v>Robin</v>
      </c>
      <c r="D7" s="26" t="str">
        <f>RIGHT(B7,LEN(B7)-SEARCH(" ",B7))</f>
        <v>Basnet</v>
      </c>
      <c r="E7" s="26" t="s">
        <v>17</v>
      </c>
      <c r="F7" s="26" t="s">
        <v>18</v>
      </c>
      <c r="G7" s="25" t="s">
        <v>13</v>
      </c>
      <c r="H7" s="27">
        <v>60159</v>
      </c>
      <c r="I7" s="25" t="s">
        <v>16</v>
      </c>
      <c r="J7" s="28" t="str">
        <f>A7&amp;".png"</f>
        <v>7.png</v>
      </c>
    </row>
    <row r="8" spans="1:17" ht="15">
      <c r="M8" s="14"/>
      <c r="N8" s="15"/>
      <c r="O8" s="15"/>
      <c r="P8" s="16"/>
      <c r="Q8" s="17"/>
    </row>
    <row r="12" spans="1:17" ht="15">
      <c r="M12" s="18"/>
      <c r="N12" s="11"/>
      <c r="O12" s="11"/>
      <c r="P12" s="12"/>
      <c r="Q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2026-03-16T12:26:00Z</dcterms:modified>
</cp:coreProperties>
</file>