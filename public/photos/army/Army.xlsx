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shhome\Desktop\Basketball CW\Data\Army\"/>
    </mc:Choice>
  </mc:AlternateContent>
  <bookViews>
    <workbookView xWindow="1950" yWindow="1410" windowWidth="26340" windowHeight="133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J4" i="1" l="1"/>
  <c r="J8" i="1"/>
  <c r="J7" i="1"/>
  <c r="J3" i="1"/>
  <c r="J10" i="1"/>
  <c r="J11" i="1"/>
  <c r="J12" i="1"/>
  <c r="J13" i="1"/>
  <c r="J2" i="1"/>
  <c r="J5" i="1"/>
  <c r="J9" i="1"/>
  <c r="D9" i="1"/>
  <c r="D4" i="1"/>
  <c r="D8" i="1"/>
  <c r="D7" i="1"/>
  <c r="D3" i="1"/>
  <c r="D10" i="1"/>
  <c r="D11" i="1"/>
  <c r="D12" i="1"/>
  <c r="D13" i="1"/>
  <c r="D2" i="1"/>
  <c r="D5" i="1"/>
  <c r="C9" i="1"/>
  <c r="C4" i="1"/>
  <c r="C8" i="1"/>
  <c r="C7" i="1"/>
  <c r="C3" i="1"/>
  <c r="C10" i="1"/>
  <c r="C11" i="1"/>
  <c r="C12" i="1"/>
  <c r="C13" i="1"/>
  <c r="C2" i="1"/>
  <c r="C5" i="1"/>
  <c r="D6" i="1"/>
  <c r="C6" i="1"/>
</calcChain>
</file>

<file path=xl/sharedStrings.xml><?xml version="1.0" encoding="utf-8"?>
<sst xmlns="http://schemas.openxmlformats.org/spreadsheetml/2006/main" count="76" uniqueCount="41">
  <si>
    <t>Name</t>
  </si>
  <si>
    <t>Position</t>
  </si>
  <si>
    <t>DOB</t>
  </si>
  <si>
    <t>Height</t>
  </si>
  <si>
    <t>SG</t>
  </si>
  <si>
    <t>C</t>
  </si>
  <si>
    <t>PF</t>
  </si>
  <si>
    <t>Picture</t>
  </si>
  <si>
    <t>First Name</t>
  </si>
  <si>
    <t>Last Name</t>
  </si>
  <si>
    <t>Team</t>
  </si>
  <si>
    <t>Team Logo</t>
  </si>
  <si>
    <t>Army.png</t>
  </si>
  <si>
    <t>Jersey</t>
  </si>
  <si>
    <t>PG</t>
  </si>
  <si>
    <t>Binod Maharjan</t>
  </si>
  <si>
    <t>Sayun Rai</t>
  </si>
  <si>
    <t>adarsha basnet</t>
  </si>
  <si>
    <t>Nukesh jugjali</t>
  </si>
  <si>
    <t>Ramkrishna ghatane</t>
  </si>
  <si>
    <t>Nischal Maharjan</t>
  </si>
  <si>
    <t>shiva bahadur pun</t>
  </si>
  <si>
    <t>chuda narayan shrestha</t>
  </si>
  <si>
    <t>Nirmal chaudhary</t>
  </si>
  <si>
    <t>Rabin Khatri</t>
  </si>
  <si>
    <t>Prajwol Maharjan</t>
  </si>
  <si>
    <t>Simon Gurung</t>
  </si>
  <si>
    <t>11-1.png</t>
  </si>
  <si>
    <t>2052/ 07/21</t>
  </si>
  <si>
    <t>5'11"</t>
  </si>
  <si>
    <t>5'9"</t>
  </si>
  <si>
    <t>6' 1"</t>
  </si>
  <si>
    <t>6'</t>
  </si>
  <si>
    <t>5' 11"</t>
  </si>
  <si>
    <t>5' 6"</t>
  </si>
  <si>
    <t>5' 10"</t>
  </si>
  <si>
    <t>5' 8"</t>
  </si>
  <si>
    <t>5' 7"</t>
  </si>
  <si>
    <t>Coach</t>
  </si>
  <si>
    <t>Rabindra Man Maharjan</t>
  </si>
  <si>
    <t>Tribhuwan Army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</si>
</sst>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yyyy/mm/dd"/>
    <numFmt numFmtId="166" formatCode="yyyy/m/d"/>
    <numFmt numFmtId="167" formatCode="yyyy\-m\-d"/>
  </numFmts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J18" sqref="J18"/>
    </sheetView>
  </sheetViews>
  <sheetFormatPr defaultRowHeight="14.25"/>
  <cols>
    <col min="2" max="2" width="23" bestFit="1" customWidth="1"/>
    <col min="3" max="3" width="11.5" bestFit="1" customWidth="1"/>
    <col min="4" max="4" width="17" bestFit="1" customWidth="1"/>
    <col min="5" max="5" width="19.75" bestFit="1" customWidth="1"/>
    <col min="6" max="6" width="9.75" customWidth="1"/>
    <col min="7" max="7" width="16.375" customWidth="1"/>
    <col min="8" max="8" width="15.875" bestFit="1" customWidth="1"/>
    <col min="9" max="9" width="7" bestFit="1" customWidth="1"/>
    <col min="10" max="10" width="13" customWidth="1"/>
  </cols>
  <sheetData>
    <row r="1" spans="1:10" ht="15.75">
      <c r="A1" s="2" t="s">
        <v>13</v>
      </c>
      <c r="B1" s="1" t="s">
        <v>0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</v>
      </c>
      <c r="H1" s="2" t="s">
        <v>2</v>
      </c>
      <c r="I1" s="1" t="s">
        <v>3</v>
      </c>
      <c r="J1" s="1" t="s">
        <v>7</v>
      </c>
    </row>
    <row r="2" spans="1:10" ht="15">
      <c r="A2" s="6">
        <v>8</v>
      </c>
      <c r="B2" s="5" t="s">
        <v>25</v>
      </c>
      <c r="C2" s="4" t="str">
        <f t="shared" ref="C2:C8" si="0">LEFT(B2,SEARCH(" ",B2)-1)</f>
        <v>Prajwol</v>
      </c>
      <c r="D2" s="4" t="str">
        <f t="shared" ref="D2:D8" si="1">RIGHT(B2,LEN(B2)-SEARCH(" ",B2))</f>
        <v>Maharjan</v>
      </c>
      <c r="E2" s="4" t="s">
        <v>40</v>
      </c>
      <c r="F2" s="4" t="s">
        <v>12</v>
      </c>
      <c r="G2" s="6" t="s">
        <v>14</v>
      </c>
      <c r="H2" s="7">
        <v>56942</v>
      </c>
      <c r="I2" s="6" t="s">
        <v>37</v>
      </c>
      <c r="J2" s="3" t="str">
        <f>A2&amp;".png"</f>
        <v>8.png</v>
      </c>
    </row>
    <row r="3" spans="1:10" ht="15">
      <c r="A3" s="6">
        <v>9</v>
      </c>
      <c r="B3" s="5" t="s">
        <v>20</v>
      </c>
      <c r="C3" s="4" t="str">
        <f t="shared" si="0"/>
        <v>Nischal</v>
      </c>
      <c r="D3" s="4" t="str">
        <f t="shared" si="1"/>
        <v>Maharjan</v>
      </c>
      <c r="E3" s="4" t="s">
        <v>40</v>
      </c>
      <c r="F3" s="4" t="s">
        <v>12</v>
      </c>
      <c r="G3" s="6" t="s">
        <v>4</v>
      </c>
      <c r="H3" s="9">
        <v>36019</v>
      </c>
      <c r="I3" s="6" t="s">
        <v>32</v>
      </c>
      <c r="J3" s="3" t="str">
        <f>A3&amp;".png"</f>
        <v>9.png</v>
      </c>
    </row>
    <row r="4" spans="1:10" ht="15">
      <c r="A4" s="6">
        <v>10</v>
      </c>
      <c r="B4" s="5" t="s">
        <v>17</v>
      </c>
      <c r="C4" s="4" t="str">
        <f t="shared" si="0"/>
        <v>adarsha</v>
      </c>
      <c r="D4" s="4" t="str">
        <f t="shared" si="1"/>
        <v>basnet</v>
      </c>
      <c r="E4" s="4" t="s">
        <v>40</v>
      </c>
      <c r="F4" s="4" t="s">
        <v>12</v>
      </c>
      <c r="G4" s="6" t="s">
        <v>5</v>
      </c>
      <c r="H4" s="8">
        <v>58512</v>
      </c>
      <c r="I4" s="6" t="s">
        <v>31</v>
      </c>
      <c r="J4" s="3" t="str">
        <f>A4&amp;".png"</f>
        <v>10.png</v>
      </c>
    </row>
    <row r="5" spans="1:10" ht="15">
      <c r="A5" s="6">
        <v>11</v>
      </c>
      <c r="B5" s="5" t="s">
        <v>26</v>
      </c>
      <c r="C5" s="4" t="str">
        <f t="shared" si="0"/>
        <v>Simon</v>
      </c>
      <c r="D5" s="4" t="str">
        <f t="shared" si="1"/>
        <v>Gurung</v>
      </c>
      <c r="E5" s="4" t="s">
        <v>40</v>
      </c>
      <c r="F5" s="4" t="s">
        <v>12</v>
      </c>
      <c r="G5" s="6" t="s">
        <v>14</v>
      </c>
      <c r="H5" s="10">
        <v>38472</v>
      </c>
      <c r="I5" s="6" t="s">
        <v>37</v>
      </c>
      <c r="J5" s="3" t="str">
        <f>A5&amp;".png"</f>
        <v>11.png</v>
      </c>
    </row>
    <row r="6" spans="1:10" ht="15">
      <c r="A6" s="6">
        <v>77</v>
      </c>
      <c r="B6" s="5" t="s">
        <v>15</v>
      </c>
      <c r="C6" s="4" t="str">
        <f t="shared" si="0"/>
        <v>Binod</v>
      </c>
      <c r="D6" s="4" t="str">
        <f t="shared" si="1"/>
        <v>Maharjan</v>
      </c>
      <c r="E6" s="4" t="s">
        <v>40</v>
      </c>
      <c r="F6" s="4" t="s">
        <v>12</v>
      </c>
      <c r="G6" s="6" t="s">
        <v>6</v>
      </c>
      <c r="H6" s="7">
        <v>32891</v>
      </c>
      <c r="I6" s="6" t="s">
        <v>29</v>
      </c>
      <c r="J6" s="3" t="s">
        <v>27</v>
      </c>
    </row>
    <row r="7" spans="1:10" ht="15">
      <c r="A7" s="6">
        <v>15</v>
      </c>
      <c r="B7" s="5" t="s">
        <v>19</v>
      </c>
      <c r="C7" s="4" t="str">
        <f t="shared" si="0"/>
        <v>Ramkrishna</v>
      </c>
      <c r="D7" s="4" t="str">
        <f t="shared" si="1"/>
        <v>ghatane</v>
      </c>
      <c r="E7" s="4" t="s">
        <v>40</v>
      </c>
      <c r="F7" s="4" t="s">
        <v>12</v>
      </c>
      <c r="G7" s="6" t="s">
        <v>5</v>
      </c>
      <c r="H7" s="6" t="s">
        <v>28</v>
      </c>
      <c r="I7" s="6" t="s">
        <v>33</v>
      </c>
      <c r="J7" s="3" t="str">
        <f>A7&amp;".png"</f>
        <v>15.png</v>
      </c>
    </row>
    <row r="8" spans="1:10" ht="15">
      <c r="A8" s="6">
        <v>55</v>
      </c>
      <c r="B8" s="5" t="s">
        <v>18</v>
      </c>
      <c r="C8" s="4" t="str">
        <f t="shared" si="0"/>
        <v>Nukesh</v>
      </c>
      <c r="D8" s="4" t="str">
        <f t="shared" si="1"/>
        <v>jugjali</v>
      </c>
      <c r="E8" s="4" t="s">
        <v>40</v>
      </c>
      <c r="F8" s="4" t="s">
        <v>12</v>
      </c>
      <c r="G8" s="6" t="s">
        <v>6</v>
      </c>
      <c r="H8" s="8">
        <v>59194</v>
      </c>
      <c r="I8" s="6" t="s">
        <v>32</v>
      </c>
      <c r="J8" s="3" t="str">
        <f>A8&amp;".png"</f>
        <v>55.png</v>
      </c>
    </row>
    <row r="9" spans="1:10" ht="15">
      <c r="A9" s="6">
        <v>5</v>
      </c>
      <c r="B9" s="5" t="s">
        <v>16</v>
      </c>
      <c r="C9" s="4" t="str">
        <f t="shared" ref="C9:C14" si="2">LEFT(B9,SEARCH(" ",B9)-1)</f>
        <v>Sayun</v>
      </c>
      <c r="D9" s="4" t="str">
        <f t="shared" ref="D9:D14" si="3">RIGHT(B9,LEN(B9)-SEARCH(" ",B9))</f>
        <v>Rai</v>
      </c>
      <c r="E9" s="4" t="s">
        <v>40</v>
      </c>
      <c r="F9" s="4" t="s">
        <v>12</v>
      </c>
      <c r="G9" s="6" t="s">
        <v>14</v>
      </c>
      <c r="H9" s="7">
        <v>37064</v>
      </c>
      <c r="I9" s="6" t="s">
        <v>30</v>
      </c>
      <c r="J9" s="3" t="str">
        <f>A9&amp;".png"</f>
        <v>5.png</v>
      </c>
    </row>
    <row r="10" spans="1:10" ht="15">
      <c r="A10" s="6">
        <v>24</v>
      </c>
      <c r="B10" s="5" t="s">
        <v>21</v>
      </c>
      <c r="C10" s="4" t="str">
        <f t="shared" si="2"/>
        <v>shiva</v>
      </c>
      <c r="D10" s="4" t="str">
        <f t="shared" si="3"/>
        <v>bahadur pun</v>
      </c>
      <c r="E10" s="4" t="s">
        <v>40</v>
      </c>
      <c r="F10" s="4" t="s">
        <v>12</v>
      </c>
      <c r="G10" s="6" t="s">
        <v>14</v>
      </c>
      <c r="H10" s="9">
        <v>36178</v>
      </c>
      <c r="I10" s="6" t="s">
        <v>34</v>
      </c>
      <c r="J10" s="3" t="str">
        <f t="shared" ref="J10:J13" si="4">A10&amp;".png"</f>
        <v>24.png</v>
      </c>
    </row>
    <row r="11" spans="1:10" ht="15">
      <c r="A11" s="6">
        <v>6</v>
      </c>
      <c r="B11" s="5" t="s">
        <v>22</v>
      </c>
      <c r="C11" s="4" t="str">
        <f t="shared" si="2"/>
        <v>chuda</v>
      </c>
      <c r="D11" s="4" t="str">
        <f t="shared" si="3"/>
        <v>narayan shrestha</v>
      </c>
      <c r="E11" s="4" t="s">
        <v>40</v>
      </c>
      <c r="F11" s="4" t="s">
        <v>12</v>
      </c>
      <c r="G11" s="6" t="s">
        <v>5</v>
      </c>
      <c r="H11" s="6">
        <v>1991</v>
      </c>
      <c r="I11" s="6" t="s">
        <v>33</v>
      </c>
      <c r="J11" s="3" t="str">
        <f t="shared" si="4"/>
        <v>6.png</v>
      </c>
    </row>
    <row r="12" spans="1:10" ht="15">
      <c r="A12" s="6">
        <v>0</v>
      </c>
      <c r="B12" s="5" t="s">
        <v>23</v>
      </c>
      <c r="C12" s="4" t="str">
        <f t="shared" si="2"/>
        <v>Nirmal</v>
      </c>
      <c r="D12" s="4" t="str">
        <f t="shared" si="3"/>
        <v>chaudhary</v>
      </c>
      <c r="E12" s="4" t="s">
        <v>40</v>
      </c>
      <c r="F12" s="4" t="s">
        <v>12</v>
      </c>
      <c r="G12" s="6" t="s">
        <v>4</v>
      </c>
      <c r="H12" s="6">
        <v>1989</v>
      </c>
      <c r="I12" s="6" t="s">
        <v>35</v>
      </c>
      <c r="J12" s="3" t="str">
        <f t="shared" si="4"/>
        <v>0.png</v>
      </c>
    </row>
    <row r="13" spans="1:10" ht="15">
      <c r="A13" s="6">
        <v>33</v>
      </c>
      <c r="B13" s="5" t="s">
        <v>24</v>
      </c>
      <c r="C13" s="4" t="str">
        <f t="shared" si="2"/>
        <v>Rabin</v>
      </c>
      <c r="D13" s="4" t="str">
        <f t="shared" si="3"/>
        <v>Khatri</v>
      </c>
      <c r="E13" s="4" t="s">
        <v>40</v>
      </c>
      <c r="F13" s="4" t="s">
        <v>12</v>
      </c>
      <c r="G13" s="6" t="s">
        <v>14</v>
      </c>
      <c r="H13" s="7">
        <v>53905</v>
      </c>
      <c r="I13" s="6" t="s">
        <v>36</v>
      </c>
      <c r="J13" s="3" t="str">
        <f t="shared" si="4"/>
        <v>33.png</v>
      </c>
    </row>
    <row r="14" spans="1:10" ht="15">
      <c r="A14" t="s">
        <v>38</v>
      </c>
      <c r="B14" s="5" t="s">
        <v>39</v>
      </c>
      <c r="C14" s="4" t="str">
        <f t="shared" si="2"/>
        <v>Rabindra</v>
      </c>
      <c r="D14" s="4" t="str">
        <f t="shared" si="3"/>
        <v>Man Maharjan</v>
      </c>
      <c r="E14" s="4" t="s">
        <v>40</v>
      </c>
      <c r="F14" s="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Thapa</dc:creator>
  <cp:lastModifiedBy>Dishhome</cp:lastModifiedBy>
  <dcterms:created xsi:type="dcterms:W3CDTF">2026-03-09T06:55:49Z</dcterms:created>
  <dcterms:modified xsi:type="dcterms:W3CDTF">2026-03-16T15:33:09Z</dcterms:modified>
</cp:coreProperties>
</file>