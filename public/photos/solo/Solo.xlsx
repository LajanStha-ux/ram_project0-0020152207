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Dishhome\Desktop\Basketball CW\Data\Solo\"/>
    </mc:Choice>
  </mc:AlternateContent>
  <bookViews>
    <workbookView xWindow="-120" yWindow="-120" windowWidth="29040" windowHeight="1584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" i="2" l="1"/>
  <c r="D8" i="2"/>
  <c r="C8" i="2"/>
  <c r="J12" i="1"/>
  <c r="D12" i="1"/>
  <c r="C12" i="1"/>
  <c r="J7" i="1"/>
  <c r="J4" i="1"/>
  <c r="J6" i="2" l="1"/>
  <c r="D6" i="2"/>
  <c r="C6" i="2"/>
  <c r="J10" i="1"/>
  <c r="D10" i="1"/>
  <c r="C10" i="1"/>
  <c r="D3" i="1"/>
  <c r="D7" i="1"/>
  <c r="D4" i="1"/>
  <c r="C3" i="1"/>
  <c r="C7" i="1"/>
  <c r="C4" i="1"/>
  <c r="D4" i="2" l="1"/>
  <c r="C4" i="2"/>
  <c r="J4" i="2"/>
  <c r="J3" i="2"/>
  <c r="D3" i="2"/>
  <c r="C3" i="2"/>
  <c r="C13" i="1"/>
  <c r="D13" i="1"/>
  <c r="J13" i="1"/>
  <c r="J2" i="2"/>
  <c r="D2" i="2"/>
  <c r="C2" i="2"/>
  <c r="C14" i="1" l="1"/>
  <c r="D14" i="1"/>
  <c r="J2" i="1" l="1"/>
  <c r="J6" i="1"/>
  <c r="J9" i="1"/>
  <c r="J11" i="1"/>
  <c r="J5" i="1"/>
  <c r="J8" i="1"/>
  <c r="J3" i="1"/>
  <c r="D2" i="1" l="1"/>
  <c r="D6" i="1"/>
  <c r="D9" i="1"/>
  <c r="D11" i="1"/>
  <c r="D5" i="1"/>
  <c r="D8" i="1"/>
  <c r="C2" i="1"/>
  <c r="C6" i="1"/>
  <c r="C9" i="1"/>
  <c r="C11" i="1"/>
  <c r="C5" i="1"/>
  <c r="C8" i="1"/>
</calcChain>
</file>

<file path=xl/sharedStrings.xml><?xml version="1.0" encoding="utf-8"?>
<sst xmlns="http://schemas.openxmlformats.org/spreadsheetml/2006/main" count="115" uniqueCount="45">
  <si>
    <t>Name</t>
  </si>
  <si>
    <t>Position</t>
  </si>
  <si>
    <t>DOB</t>
  </si>
  <si>
    <t>Height</t>
  </si>
  <si>
    <t>SG</t>
  </si>
  <si>
    <t>C</t>
  </si>
  <si>
    <t>Picture</t>
  </si>
  <si>
    <t>First Name</t>
  </si>
  <si>
    <t>Last Name</t>
  </si>
  <si>
    <t>Team</t>
  </si>
  <si>
    <t>Team Logo</t>
  </si>
  <si>
    <t>Jersey</t>
  </si>
  <si>
    <t>PG</t>
  </si>
  <si>
    <t>SF</t>
  </si>
  <si>
    <t>SG/SF</t>
  </si>
  <si>
    <t>Jesang Sunuwar</t>
  </si>
  <si>
    <t>Prases Maharjan</t>
  </si>
  <si>
    <t>Aashish Maharjan</t>
  </si>
  <si>
    <t>Aayush Maharjan</t>
  </si>
  <si>
    <t>Raj Lama</t>
  </si>
  <si>
    <t>Karma Gurung</t>
  </si>
  <si>
    <t>Dibesh Raj Kunwar</t>
  </si>
  <si>
    <t>Pragun Maharjan</t>
  </si>
  <si>
    <t>Parash Yonjan</t>
  </si>
  <si>
    <t>Manish Tamang</t>
  </si>
  <si>
    <t>Pranav Agarwal</t>
  </si>
  <si>
    <t>Solo.png</t>
  </si>
  <si>
    <t>PF</t>
  </si>
  <si>
    <t>5'11"</t>
  </si>
  <si>
    <t>5'9"</t>
  </si>
  <si>
    <t>5'</t>
  </si>
  <si>
    <t>5'8"</t>
  </si>
  <si>
    <t>5'7"</t>
  </si>
  <si>
    <t>5'10"</t>
  </si>
  <si>
    <t>6'2"</t>
  </si>
  <si>
    <t>Coach</t>
  </si>
  <si>
    <t>Solo Basketball</t>
  </si>
  <si>
    <t>Lavish Maharjan</t>
  </si>
  <si>
    <t>Subrat Raj Upadhyaya</t>
  </si>
  <si>
    <t>Pratik Badu</t>
  </si>
  <si>
    <t>Aarohan Buda Shrestha</t>
  </si>
  <si>
    <t>Aryan Stha</t>
  </si>
  <si>
    <t>6'1"</t>
  </si>
  <si>
    <t>Aryan SHRESTHA</t>
  </si>
  <si>
    <t>Manoj Rajopadhyay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</si>
</sst>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212529"/>
      <name val="Arial"/>
      <family val="2"/>
    </font>
    <font>
      <sz val="10"/>
      <color theme="1"/>
      <name val="Arial"/>
      <family val="2"/>
    </font>
    <font>
      <sz val="12"/>
      <color rgb="FF212529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/>
    <xf numFmtId="0" fontId="2" fillId="0" borderId="0" xfId="0" applyFont="1" applyBorder="1" applyAlignment="1">
      <alignment horizontal="left" vertical="center" wrapText="1" indent="1" readingOrder="1"/>
    </xf>
    <xf numFmtId="0" fontId="3" fillId="0" borderId="0" xfId="0" applyFont="1" applyBorder="1" applyAlignment="1">
      <alignment horizontal="left" vertical="center" wrapText="1" indent="1" readingOrder="1"/>
    </xf>
    <xf numFmtId="14" fontId="2" fillId="0" borderId="0" xfId="0" applyNumberFormat="1" applyFont="1" applyBorder="1" applyAlignment="1">
      <alignment horizontal="left" vertical="center" wrapText="1" indent="1" readingOrder="1"/>
    </xf>
    <xf numFmtId="0" fontId="4" fillId="0" borderId="0" xfId="0" applyFont="1" applyFill="1" applyBorder="1"/>
    <xf numFmtId="0" fontId="2" fillId="0" borderId="0" xfId="0" applyFont="1" applyBorder="1" applyAlignment="1">
      <alignment vertical="center" wrapText="1" readingOrder="1"/>
    </xf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vertical="top" wrapText="1"/>
    </xf>
    <xf numFmtId="14" fontId="6" fillId="0" borderId="0" xfId="0" applyNumberFormat="1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center" wrapText="1"/>
    </xf>
    <xf numFmtId="0" fontId="0" fillId="0" borderId="0" xfId="0" applyFill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 applyAlignment="1">
      <alignment vertical="center" wrapText="1" readingOrder="1"/>
    </xf>
    <xf numFmtId="0" fontId="6" fillId="0" borderId="1" xfId="0" applyFont="1" applyFill="1" applyBorder="1" applyAlignment="1">
      <alignment horizontal="center" vertical="top" wrapText="1"/>
    </xf>
    <xf numFmtId="0" fontId="6" fillId="0" borderId="1" xfId="0" applyFont="1" applyFill="1" applyBorder="1" applyAlignment="1">
      <alignment vertical="top" wrapText="1"/>
    </xf>
    <xf numFmtId="0" fontId="5" fillId="0" borderId="1" xfId="0" applyFont="1" applyFill="1" applyBorder="1" applyAlignment="1">
      <alignment horizontal="center"/>
    </xf>
    <xf numFmtId="14" fontId="6" fillId="0" borderId="1" xfId="0" applyNumberFormat="1" applyFont="1" applyFill="1" applyBorder="1" applyAlignment="1">
      <alignment horizontal="center" vertical="top" wrapText="1"/>
    </xf>
    <xf numFmtId="0" fontId="7" fillId="0" borderId="1" xfId="0" applyFont="1" applyFill="1" applyBorder="1" applyAlignment="1">
      <alignment horizontal="center" wrapText="1"/>
    </xf>
    <xf numFmtId="0" fontId="5" fillId="0" borderId="1" xfId="0" applyFont="1" applyFill="1" applyBorder="1"/>
    <xf numFmtId="0" fontId="8" fillId="0" borderId="2" xfId="0" applyFont="1" applyBorder="1" applyAlignment="1">
      <alignment horizontal="left" vertical="top"/>
    </xf>
    <xf numFmtId="0" fontId="8" fillId="0" borderId="2" xfId="0" applyFont="1" applyBorder="1" applyAlignment="1">
      <alignment horizontal="center" vertical="top"/>
    </xf>
    <xf numFmtId="14" fontId="8" fillId="0" borderId="2" xfId="0" applyNumberFormat="1" applyFont="1" applyBorder="1" applyAlignment="1">
      <alignment horizontal="center" vertical="top"/>
    </xf>
    <xf numFmtId="0" fontId="9" fillId="0" borderId="0" xfId="0" applyFont="1"/>
    <xf numFmtId="0" fontId="1" fillId="0" borderId="1" xfId="0" applyFont="1" applyBorder="1" applyAlignment="1"/>
    <xf numFmtId="0" fontId="3" fillId="0" borderId="1" xfId="0" applyFont="1" applyBorder="1" applyAlignment="1">
      <alignment vertical="center" readingOrder="1"/>
    </xf>
    <xf numFmtId="0" fontId="0" fillId="0" borderId="0" xfId="0" applyFill="1" applyAlignment="1"/>
    <xf numFmtId="0" fontId="6" fillId="0" borderId="0" xfId="0" applyFont="1" applyFill="1" applyBorder="1" applyAlignment="1">
      <alignment horizontal="center" vertical="top"/>
    </xf>
    <xf numFmtId="0" fontId="6" fillId="0" borderId="0" xfId="0" applyFont="1" applyFill="1" applyBorder="1" applyAlignment="1">
      <alignment vertical="top"/>
    </xf>
    <xf numFmtId="14" fontId="6" fillId="0" borderId="0" xfId="0" applyNumberFormat="1" applyFont="1" applyFill="1" applyBorder="1" applyAlignment="1">
      <alignment horizontal="center" vertical="top"/>
    </xf>
    <xf numFmtId="0" fontId="7" fillId="0" borderId="0" xfId="0" applyFont="1" applyFill="1" applyBorder="1" applyAlignment="1">
      <alignment horizontal="center"/>
    </xf>
    <xf numFmtId="0" fontId="5" fillId="0" borderId="0" xfId="0" applyFont="1" applyFill="1" applyBorder="1" applyAlignment="1"/>
    <xf numFmtId="0" fontId="0" fillId="0" borderId="0" xfId="0" applyAlignment="1"/>
    <xf numFmtId="0" fontId="9" fillId="0" borderId="0" xfId="0" applyFont="1" applyAlignme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tabSelected="1" workbookViewId="0">
      <selection activeCell="A7" sqref="A7:XFD7"/>
    </sheetView>
  </sheetViews>
  <sheetFormatPr defaultRowHeight="14.25"/>
  <cols>
    <col min="2" max="2" width="24.75" bestFit="1" customWidth="1"/>
    <col min="3" max="3" width="14.5" bestFit="1" customWidth="1"/>
    <col min="4" max="4" width="15.875" bestFit="1" customWidth="1"/>
    <col min="5" max="5" width="14.875" bestFit="1" customWidth="1"/>
    <col min="6" max="6" width="11.875" bestFit="1" customWidth="1"/>
    <col min="7" max="7" width="16.375" customWidth="1"/>
    <col min="8" max="8" width="15.875" bestFit="1" customWidth="1"/>
    <col min="9" max="9" width="6.75" bestFit="1" customWidth="1"/>
    <col min="10" max="10" width="13" customWidth="1"/>
  </cols>
  <sheetData>
    <row r="1" spans="1:10" ht="15.75">
      <c r="A1" s="13" t="s">
        <v>11</v>
      </c>
      <c r="B1" s="14" t="s">
        <v>0</v>
      </c>
      <c r="C1" s="13" t="s">
        <v>7</v>
      </c>
      <c r="D1" s="13" t="s">
        <v>8</v>
      </c>
      <c r="E1" s="13" t="s">
        <v>9</v>
      </c>
      <c r="F1" s="13" t="s">
        <v>10</v>
      </c>
      <c r="G1" s="13" t="s">
        <v>1</v>
      </c>
      <c r="H1" s="13" t="s">
        <v>2</v>
      </c>
      <c r="I1" s="15" t="s">
        <v>3</v>
      </c>
      <c r="J1" s="14" t="s">
        <v>6</v>
      </c>
    </row>
    <row r="2" spans="1:10" s="12" customFormat="1" ht="15">
      <c r="A2" s="16">
        <v>1</v>
      </c>
      <c r="B2" s="17" t="s">
        <v>15</v>
      </c>
      <c r="C2" s="18" t="str">
        <f>LEFT(B2,SEARCH(" ",B2)-1)</f>
        <v>Jesang</v>
      </c>
      <c r="D2" s="18" t="str">
        <f>RIGHT(B2,LEN(B2)-SEARCH(" ",B2))</f>
        <v>Sunuwar</v>
      </c>
      <c r="E2" s="18" t="s">
        <v>36</v>
      </c>
      <c r="F2" s="18" t="s">
        <v>26</v>
      </c>
      <c r="G2" s="16" t="s">
        <v>4</v>
      </c>
      <c r="H2" s="19">
        <v>36330</v>
      </c>
      <c r="I2" s="20" t="s">
        <v>29</v>
      </c>
      <c r="J2" s="21" t="str">
        <f>A2&amp;".png"</f>
        <v>1.png</v>
      </c>
    </row>
    <row r="3" spans="1:10" s="6" customFormat="1" ht="15">
      <c r="A3" s="16">
        <v>2</v>
      </c>
      <c r="B3" s="17" t="s">
        <v>24</v>
      </c>
      <c r="C3" s="18" t="str">
        <f>LEFT(B3,SEARCH(" ",B3)-1)</f>
        <v>Manish</v>
      </c>
      <c r="D3" s="18" t="str">
        <f>RIGHT(B3,LEN(B3)-SEARCH(" ",B3))</f>
        <v>Tamang</v>
      </c>
      <c r="E3" s="18" t="s">
        <v>36</v>
      </c>
      <c r="F3" s="18" t="s">
        <v>26</v>
      </c>
      <c r="G3" s="16" t="s">
        <v>12</v>
      </c>
      <c r="H3" s="19">
        <v>37577</v>
      </c>
      <c r="I3" s="20" t="s">
        <v>32</v>
      </c>
      <c r="J3" s="21" t="str">
        <f>A3&amp;".png"</f>
        <v>2.png</v>
      </c>
    </row>
    <row r="4" spans="1:10" ht="15">
      <c r="A4" s="36">
        <v>7</v>
      </c>
      <c r="B4" t="s">
        <v>44</v>
      </c>
      <c r="C4" s="18" t="str">
        <f>LEFT(B4,SEARCH(" ",B4)-1)</f>
        <v>Manoj</v>
      </c>
      <c r="D4" s="18" t="str">
        <f>RIGHT(B4,LEN(B4)-SEARCH(" ",B4))</f>
        <v>Rajopadhyay</v>
      </c>
      <c r="E4" s="18" t="s">
        <v>36</v>
      </c>
      <c r="F4" s="18" t="s">
        <v>26</v>
      </c>
      <c r="G4" s="36" t="s">
        <v>13</v>
      </c>
      <c r="I4" t="s">
        <v>28</v>
      </c>
      <c r="J4" s="21" t="str">
        <f>A4&amp;".png"</f>
        <v>7.png</v>
      </c>
    </row>
    <row r="5" spans="1:10" s="12" customFormat="1" ht="15">
      <c r="A5" s="16">
        <v>11</v>
      </c>
      <c r="B5" s="17" t="s">
        <v>22</v>
      </c>
      <c r="C5" s="18" t="str">
        <f>LEFT(B5,SEARCH(" ",B5)-1)</f>
        <v>Pragun</v>
      </c>
      <c r="D5" s="18" t="str">
        <f>RIGHT(B5,LEN(B5)-SEARCH(" ",B5))</f>
        <v>Maharjan</v>
      </c>
      <c r="E5" s="18" t="s">
        <v>36</v>
      </c>
      <c r="F5" s="18" t="s">
        <v>26</v>
      </c>
      <c r="G5" s="16" t="s">
        <v>14</v>
      </c>
      <c r="H5" s="19">
        <v>35815</v>
      </c>
      <c r="I5" s="20" t="s">
        <v>29</v>
      </c>
      <c r="J5" s="21" t="str">
        <f>A5&amp;".png"</f>
        <v>11.png</v>
      </c>
    </row>
    <row r="6" spans="1:10" s="12" customFormat="1" ht="15">
      <c r="A6" s="16">
        <v>12</v>
      </c>
      <c r="B6" s="17" t="s">
        <v>17</v>
      </c>
      <c r="C6" s="18" t="str">
        <f>LEFT(B6,SEARCH(" ",B6)-1)</f>
        <v>Aashish</v>
      </c>
      <c r="D6" s="18" t="str">
        <f>RIGHT(B6,LEN(B6)-SEARCH(" ",B6))</f>
        <v>Maharjan</v>
      </c>
      <c r="E6" s="18" t="s">
        <v>36</v>
      </c>
      <c r="F6" s="18" t="s">
        <v>26</v>
      </c>
      <c r="G6" s="16" t="s">
        <v>27</v>
      </c>
      <c r="H6" s="19">
        <v>34729</v>
      </c>
      <c r="I6" s="20" t="s">
        <v>28</v>
      </c>
      <c r="J6" s="21" t="str">
        <f>A6&amp;".png"</f>
        <v>12.png</v>
      </c>
    </row>
    <row r="7" spans="1:10" ht="15">
      <c r="A7" s="36">
        <v>4</v>
      </c>
      <c r="B7" t="s">
        <v>43</v>
      </c>
      <c r="C7" s="18" t="str">
        <f>LEFT(B7,SEARCH(" ",B7)-1)</f>
        <v>Aryan</v>
      </c>
      <c r="D7" s="18" t="str">
        <f>RIGHT(B7,LEN(B7)-SEARCH(" ",B7))</f>
        <v>SHRESTHA</v>
      </c>
      <c r="E7" s="18" t="s">
        <v>36</v>
      </c>
      <c r="F7" s="18" t="s">
        <v>26</v>
      </c>
      <c r="G7" s="36" t="s">
        <v>5</v>
      </c>
      <c r="I7" s="36" t="s">
        <v>42</v>
      </c>
      <c r="J7" s="21" t="str">
        <f t="shared" ref="J7" si="0">A7&amp;".png"</f>
        <v>4.png</v>
      </c>
    </row>
    <row r="8" spans="1:10" s="12" customFormat="1" ht="15">
      <c r="A8" s="16">
        <v>3</v>
      </c>
      <c r="B8" s="17" t="s">
        <v>23</v>
      </c>
      <c r="C8" s="18" t="str">
        <f>LEFT(B8,SEARCH(" ",B8)-1)</f>
        <v>Parash</v>
      </c>
      <c r="D8" s="18" t="str">
        <f>RIGHT(B8,LEN(B8)-SEARCH(" ",B8))</f>
        <v>Yonjan</v>
      </c>
      <c r="E8" s="18" t="s">
        <v>36</v>
      </c>
      <c r="F8" s="18" t="s">
        <v>26</v>
      </c>
      <c r="G8" s="16" t="s">
        <v>13</v>
      </c>
      <c r="H8" s="19">
        <v>36484</v>
      </c>
      <c r="I8" s="20" t="s">
        <v>33</v>
      </c>
      <c r="J8" s="21" t="str">
        <f>A8&amp;".png"</f>
        <v>3.png</v>
      </c>
    </row>
    <row r="9" spans="1:10" s="12" customFormat="1" ht="15">
      <c r="A9" s="16">
        <v>8</v>
      </c>
      <c r="B9" s="17" t="s">
        <v>18</v>
      </c>
      <c r="C9" s="18" t="str">
        <f>LEFT(B9,SEARCH(" ",B9)-1)</f>
        <v>Aayush</v>
      </c>
      <c r="D9" s="18" t="str">
        <f>RIGHT(B9,LEN(B9)-SEARCH(" ",B9))</f>
        <v>Maharjan</v>
      </c>
      <c r="E9" s="18" t="s">
        <v>36</v>
      </c>
      <c r="F9" s="18" t="s">
        <v>26</v>
      </c>
      <c r="G9" s="16" t="s">
        <v>4</v>
      </c>
      <c r="H9" s="19">
        <v>37047</v>
      </c>
      <c r="I9" s="20" t="s">
        <v>31</v>
      </c>
      <c r="J9" s="21" t="str">
        <f>A9&amp;".png"</f>
        <v>8.png</v>
      </c>
    </row>
    <row r="10" spans="1:10" s="6" customFormat="1" ht="15">
      <c r="A10" s="16">
        <v>5</v>
      </c>
      <c r="B10" s="17" t="s">
        <v>20</v>
      </c>
      <c r="C10" s="18" t="str">
        <f>LEFT(B10,SEARCH(" ",B10)-1)</f>
        <v>Karma</v>
      </c>
      <c r="D10" s="18" t="str">
        <f>RIGHT(B10,LEN(B10)-SEARCH(" ",B10))</f>
        <v>Gurung</v>
      </c>
      <c r="E10" s="18" t="s">
        <v>36</v>
      </c>
      <c r="F10" s="18" t="s">
        <v>26</v>
      </c>
      <c r="G10" s="16" t="s">
        <v>27</v>
      </c>
      <c r="H10" s="19">
        <v>28669</v>
      </c>
      <c r="I10" s="20" t="s">
        <v>33</v>
      </c>
      <c r="J10" s="21" t="str">
        <f>A10&amp;".png"</f>
        <v>5.png</v>
      </c>
    </row>
    <row r="11" spans="1:10" s="12" customFormat="1" ht="15">
      <c r="A11" s="16">
        <v>9</v>
      </c>
      <c r="B11" s="17" t="s">
        <v>19</v>
      </c>
      <c r="C11" s="18" t="str">
        <f>LEFT(B11,SEARCH(" ",B11)-1)</f>
        <v>Raj</v>
      </c>
      <c r="D11" s="18" t="str">
        <f>RIGHT(B11,LEN(B11)-SEARCH(" ",B11))</f>
        <v>Lama</v>
      </c>
      <c r="E11" s="18" t="s">
        <v>36</v>
      </c>
      <c r="F11" s="18" t="s">
        <v>26</v>
      </c>
      <c r="G11" s="16" t="s">
        <v>12</v>
      </c>
      <c r="H11" s="19">
        <v>37111</v>
      </c>
      <c r="I11" s="20" t="s">
        <v>32</v>
      </c>
      <c r="J11" s="21" t="str">
        <f>A11&amp;".png"</f>
        <v>9.png</v>
      </c>
    </row>
    <row r="12" spans="1:10" s="12" customFormat="1" ht="15">
      <c r="A12" s="16">
        <v>15</v>
      </c>
      <c r="B12" s="17" t="s">
        <v>21</v>
      </c>
      <c r="C12" s="18" t="str">
        <f>LEFT(B12,SEARCH(" ",B12)-1)</f>
        <v>Dibesh</v>
      </c>
      <c r="D12" s="18" t="str">
        <f>RIGHT(B12,LEN(B12)-SEARCH(" ",B12))</f>
        <v>Raj Kunwar</v>
      </c>
      <c r="E12" s="18" t="s">
        <v>36</v>
      </c>
      <c r="F12" s="18" t="s">
        <v>26</v>
      </c>
      <c r="G12" s="16" t="s">
        <v>5</v>
      </c>
      <c r="H12" s="19">
        <v>36096</v>
      </c>
      <c r="I12" s="20" t="s">
        <v>34</v>
      </c>
      <c r="J12" s="21" t="str">
        <f>A12&amp;".png"</f>
        <v>15.png</v>
      </c>
    </row>
    <row r="13" spans="1:10" ht="15">
      <c r="A13" s="16">
        <v>10</v>
      </c>
      <c r="B13" s="17" t="s">
        <v>37</v>
      </c>
      <c r="C13" s="18" t="str">
        <f>LEFT(B13,SEARCH(" ",B13)-1)</f>
        <v>Lavish</v>
      </c>
      <c r="D13" s="18" t="str">
        <f>RIGHT(B13,LEN(B13)-SEARCH(" ",B13))</f>
        <v>Maharjan</v>
      </c>
      <c r="E13" s="18" t="s">
        <v>36</v>
      </c>
      <c r="F13" s="18" t="s">
        <v>26</v>
      </c>
      <c r="G13" s="16" t="s">
        <v>13</v>
      </c>
      <c r="H13" s="19">
        <v>36528</v>
      </c>
      <c r="I13" s="20" t="s">
        <v>33</v>
      </c>
      <c r="J13" s="21" t="str">
        <f>A13&amp;".png"</f>
        <v>10.png</v>
      </c>
    </row>
    <row r="14" spans="1:10" s="12" customFormat="1" ht="15">
      <c r="A14" s="16" t="s">
        <v>35</v>
      </c>
      <c r="B14" s="17" t="s">
        <v>38</v>
      </c>
      <c r="C14" s="18" t="str">
        <f>LEFT(B14,SEARCH(" ",B14)-1)</f>
        <v>Subrat</v>
      </c>
      <c r="D14" s="18" t="str">
        <f>RIGHT(B14,LEN(B14)-SEARCH(" ",B14))</f>
        <v>Raj Upadhyaya</v>
      </c>
      <c r="E14" s="18" t="s">
        <v>36</v>
      </c>
      <c r="F14" s="18" t="s">
        <v>26</v>
      </c>
      <c r="G14" s="16"/>
      <c r="H14" s="19"/>
      <c r="I14" s="20"/>
      <c r="J14" s="21"/>
    </row>
    <row r="15" spans="1:10" ht="15">
      <c r="A15" s="8"/>
      <c r="B15" s="9"/>
      <c r="C15" s="1"/>
      <c r="D15" s="1"/>
      <c r="E15" s="1"/>
      <c r="F15" s="1"/>
      <c r="G15" s="8"/>
      <c r="H15" s="10"/>
      <c r="I15" s="11"/>
      <c r="J15" s="2"/>
    </row>
    <row r="21" spans="3:8" s="6" customFormat="1"/>
    <row r="22" spans="3:8" s="6" customFormat="1"/>
    <row r="23" spans="3:8" s="6" customFormat="1"/>
    <row r="24" spans="3:8" s="6" customFormat="1"/>
    <row r="25" spans="3:8" s="6" customFormat="1"/>
    <row r="27" spans="3:8" s="6" customFormat="1"/>
    <row r="28" spans="3:8" s="6" customFormat="1"/>
    <row r="29" spans="3:8" s="6" customFormat="1"/>
    <row r="30" spans="3:8" s="6" customFormat="1"/>
    <row r="31" spans="3:8" ht="15">
      <c r="C31" s="4"/>
      <c r="D31" s="3"/>
      <c r="E31" s="3"/>
      <c r="F31" s="5"/>
      <c r="G31" s="3"/>
      <c r="H31" s="7"/>
    </row>
    <row r="32" spans="3:8" ht="15">
      <c r="C32" s="4"/>
      <c r="D32" s="3"/>
      <c r="E32" s="3"/>
      <c r="F32" s="5"/>
      <c r="G32" s="3"/>
      <c r="H32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1"/>
  <sheetViews>
    <sheetView workbookViewId="0">
      <selection activeCell="A8" sqref="A8:XFD8"/>
    </sheetView>
  </sheetViews>
  <sheetFormatPr defaultRowHeight="14.25"/>
  <cols>
    <col min="1" max="1" width="7.5" style="34" bestFit="1" customWidth="1"/>
    <col min="2" max="2" width="15" style="34" bestFit="1" customWidth="1"/>
    <col min="3" max="3" width="11.375" style="34" bestFit="1" customWidth="1"/>
    <col min="4" max="4" width="11.25" style="34" bestFit="1" customWidth="1"/>
    <col min="5" max="5" width="14.875" style="34" bestFit="1" customWidth="1"/>
    <col min="6" max="6" width="11.875" style="34" bestFit="1" customWidth="1"/>
    <col min="7" max="7" width="9" style="34" bestFit="1" customWidth="1"/>
    <col min="8" max="8" width="11.125" style="34" bestFit="1" customWidth="1"/>
    <col min="9" max="9" width="6.75" style="34" bestFit="1" customWidth="1"/>
    <col min="10" max="10" width="7.875" style="34" bestFit="1" customWidth="1"/>
    <col min="11" max="13" width="9" style="34"/>
    <col min="14" max="14" width="17.125" style="34" customWidth="1"/>
    <col min="15" max="16384" width="9" style="34"/>
  </cols>
  <sheetData>
    <row r="1" spans="1:16" s="28" customFormat="1" ht="15.75">
      <c r="A1" s="13" t="s">
        <v>11</v>
      </c>
      <c r="B1" s="26" t="s">
        <v>0</v>
      </c>
      <c r="C1" s="13" t="s">
        <v>7</v>
      </c>
      <c r="D1" s="13" t="s">
        <v>8</v>
      </c>
      <c r="E1" s="13" t="s">
        <v>9</v>
      </c>
      <c r="F1" s="13" t="s">
        <v>10</v>
      </c>
      <c r="G1" s="13" t="s">
        <v>1</v>
      </c>
      <c r="H1" s="13" t="s">
        <v>2</v>
      </c>
      <c r="I1" s="27" t="s">
        <v>3</v>
      </c>
      <c r="J1" s="26" t="s">
        <v>6</v>
      </c>
    </row>
    <row r="2" spans="1:16" ht="15">
      <c r="A2" s="29">
        <v>6</v>
      </c>
      <c r="B2" s="30" t="s">
        <v>25</v>
      </c>
      <c r="C2" s="1" t="str">
        <f>LEFT(B2,SEARCH(" ",B2)-1)</f>
        <v>Pranav</v>
      </c>
      <c r="D2" s="1" t="str">
        <f>RIGHT(B2,LEN(B2)-SEARCH(" ",B2))</f>
        <v>Agarwal</v>
      </c>
      <c r="E2" s="1" t="s">
        <v>36</v>
      </c>
      <c r="F2" s="1" t="s">
        <v>26</v>
      </c>
      <c r="G2" s="29" t="s">
        <v>4</v>
      </c>
      <c r="H2" s="31">
        <v>40167</v>
      </c>
      <c r="I2" s="32" t="s">
        <v>29</v>
      </c>
      <c r="J2" s="33" t="str">
        <f>A2&amp;".png"</f>
        <v>6.png</v>
      </c>
    </row>
    <row r="3" spans="1:16" ht="15">
      <c r="A3" s="29">
        <v>5</v>
      </c>
      <c r="B3" s="22" t="s">
        <v>39</v>
      </c>
      <c r="C3" s="1" t="str">
        <f>LEFT(B3,SEARCH(" ",B3)-1)</f>
        <v>Pratik</v>
      </c>
      <c r="D3" s="1" t="str">
        <f>RIGHT(B3,LEN(B3)-SEARCH(" ",B3))</f>
        <v>Badu</v>
      </c>
      <c r="E3" s="1" t="s">
        <v>36</v>
      </c>
      <c r="F3" s="1" t="s">
        <v>26</v>
      </c>
      <c r="G3" s="29" t="s">
        <v>5</v>
      </c>
      <c r="H3" s="24">
        <v>38033</v>
      </c>
      <c r="I3" s="32" t="s">
        <v>34</v>
      </c>
      <c r="J3" s="33" t="str">
        <f>A3&amp;".png"</f>
        <v>5.png</v>
      </c>
    </row>
    <row r="4" spans="1:16" ht="15">
      <c r="A4" s="23">
        <v>24</v>
      </c>
      <c r="B4" s="22" t="s">
        <v>40</v>
      </c>
      <c r="C4" s="1" t="str">
        <f>LEFT(B4,SEARCH(" ",B4)-1)</f>
        <v>Aarohan</v>
      </c>
      <c r="D4" s="1" t="str">
        <f>RIGHT(B4,LEN(B4)-SEARCH(" ",B4))</f>
        <v>Buda Shrestha</v>
      </c>
      <c r="E4" s="1" t="s">
        <v>36</v>
      </c>
      <c r="F4" s="1" t="s">
        <v>26</v>
      </c>
      <c r="G4" s="29" t="s">
        <v>13</v>
      </c>
      <c r="H4" s="24">
        <v>39828</v>
      </c>
      <c r="I4" s="32" t="s">
        <v>31</v>
      </c>
      <c r="J4" s="33" t="str">
        <f>A4&amp;".png"</f>
        <v>24.png</v>
      </c>
      <c r="L4" s="22"/>
      <c r="M4" s="23"/>
      <c r="N4" s="23"/>
      <c r="O4" s="24"/>
      <c r="P4" s="35"/>
    </row>
    <row r="5" spans="1:16" customFormat="1" ht="15">
      <c r="A5">
        <v>4</v>
      </c>
      <c r="B5" t="s">
        <v>41</v>
      </c>
      <c r="E5" s="18" t="s">
        <v>36</v>
      </c>
      <c r="F5" s="18" t="s">
        <v>26</v>
      </c>
    </row>
    <row r="6" spans="1:16" s="12" customFormat="1" ht="30">
      <c r="A6" s="16">
        <v>15</v>
      </c>
      <c r="B6" s="17" t="s">
        <v>21</v>
      </c>
      <c r="C6" s="18" t="str">
        <f>LEFT(B6,SEARCH(" ",B6)-1)</f>
        <v>Dibesh</v>
      </c>
      <c r="D6" s="18" t="str">
        <f>RIGHT(B6,LEN(B6)-SEARCH(" ",B6))</f>
        <v>Raj Kunwar</v>
      </c>
      <c r="E6" s="18" t="s">
        <v>36</v>
      </c>
      <c r="F6" s="18" t="s">
        <v>26</v>
      </c>
      <c r="G6" s="16" t="s">
        <v>5</v>
      </c>
      <c r="H6" s="19">
        <v>36096</v>
      </c>
      <c r="I6" s="20" t="s">
        <v>34</v>
      </c>
      <c r="J6" s="21" t="str">
        <f>A6&amp;".png"</f>
        <v>15.png</v>
      </c>
    </row>
    <row r="7" spans="1:16" customFormat="1" ht="15">
      <c r="A7">
        <v>4</v>
      </c>
      <c r="B7" t="s">
        <v>41</v>
      </c>
      <c r="E7" s="18" t="s">
        <v>36</v>
      </c>
      <c r="F7" s="18" t="s">
        <v>26</v>
      </c>
    </row>
    <row r="8" spans="1:16" s="12" customFormat="1" ht="15">
      <c r="A8" s="16">
        <v>34</v>
      </c>
      <c r="B8" s="17" t="s">
        <v>16</v>
      </c>
      <c r="C8" s="18" t="str">
        <f>LEFT(B8,SEARCH(" ",B8)-1)</f>
        <v>Prases</v>
      </c>
      <c r="D8" s="18" t="str">
        <f>RIGHT(B8,LEN(B8)-SEARCH(" ",B8))</f>
        <v>Maharjan</v>
      </c>
      <c r="E8" s="18" t="s">
        <v>36</v>
      </c>
      <c r="F8" s="18" t="s">
        <v>26</v>
      </c>
      <c r="G8" s="16" t="s">
        <v>12</v>
      </c>
      <c r="H8" s="19">
        <v>34294</v>
      </c>
      <c r="I8" s="20" t="s">
        <v>30</v>
      </c>
      <c r="J8" s="21" t="str">
        <f>A8&amp;".png"</f>
        <v>34.png</v>
      </c>
    </row>
    <row r="11" spans="1:16" ht="15">
      <c r="K11" s="22"/>
      <c r="L11" s="23"/>
      <c r="M11" s="23"/>
      <c r="N11" s="24"/>
      <c r="O11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Thapa</dc:creator>
  <cp:lastModifiedBy>Dishhome</cp:lastModifiedBy>
  <dcterms:created xsi:type="dcterms:W3CDTF">2026-03-09T06:55:49Z</dcterms:created>
  <dcterms:modified xsi:type="dcterms:W3CDTF">2026-03-17T12:21:19Z</dcterms:modified>
</cp:coreProperties>
</file>