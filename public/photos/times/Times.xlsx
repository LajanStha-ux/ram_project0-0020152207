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Times\"/>
    </mc:Choice>
  </mc:AlternateContent>
  <bookViews>
    <workbookView xWindow="1950" yWindow="1410" windowWidth="26340" windowHeight="133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2" l="1"/>
  <c r="J3" i="2"/>
  <c r="D2" i="2"/>
  <c r="D3" i="2"/>
  <c r="C2" i="2"/>
  <c r="C3" i="2"/>
  <c r="C14" i="1" l="1"/>
  <c r="D14" i="1"/>
  <c r="J13" i="1"/>
  <c r="C13" i="1"/>
  <c r="D13" i="1"/>
  <c r="J8" i="1" l="1"/>
  <c r="D8" i="1"/>
  <c r="C8" i="1"/>
  <c r="J4" i="1" l="1"/>
  <c r="J6" i="1"/>
  <c r="J5" i="1"/>
  <c r="J7" i="1"/>
  <c r="J10" i="1"/>
  <c r="J11" i="1"/>
  <c r="J12" i="1"/>
  <c r="J9" i="1"/>
  <c r="J2" i="1"/>
  <c r="J3" i="1"/>
  <c r="D3" i="1"/>
  <c r="D4" i="1"/>
  <c r="D6" i="1"/>
  <c r="D5" i="1"/>
  <c r="D7" i="1"/>
  <c r="D10" i="1"/>
  <c r="D11" i="1"/>
  <c r="D12" i="1"/>
  <c r="D9" i="1"/>
  <c r="D2" i="1"/>
  <c r="C3" i="1"/>
  <c r="C4" i="1"/>
  <c r="C6" i="1"/>
  <c r="C5" i="1"/>
  <c r="C7" i="1"/>
  <c r="C10" i="1"/>
  <c r="C11" i="1"/>
  <c r="C12" i="1"/>
  <c r="C9" i="1"/>
  <c r="C2" i="1"/>
</calcChain>
</file>

<file path=xl/sharedStrings.xml><?xml version="1.0" encoding="utf-8"?>
<sst xmlns="http://schemas.openxmlformats.org/spreadsheetml/2006/main" count="99" uniqueCount="48">
  <si>
    <t>Name</t>
  </si>
  <si>
    <t>Position</t>
  </si>
  <si>
    <t>DOB</t>
  </si>
  <si>
    <t>Height</t>
  </si>
  <si>
    <t>SG</t>
  </si>
  <si>
    <t>C</t>
  </si>
  <si>
    <t>PF</t>
  </si>
  <si>
    <t>Picture</t>
  </si>
  <si>
    <t>First Name</t>
  </si>
  <si>
    <t>Last Name</t>
  </si>
  <si>
    <t>Team</t>
  </si>
  <si>
    <t>Team Logo</t>
  </si>
  <si>
    <t>Jersey</t>
  </si>
  <si>
    <t>PG</t>
  </si>
  <si>
    <t>5'11"</t>
  </si>
  <si>
    <t>Sadhish Pradhan</t>
  </si>
  <si>
    <t>Manish K.C</t>
  </si>
  <si>
    <t>Shreyas Bahadur Shah</t>
  </si>
  <si>
    <t>Pemba Sherpa</t>
  </si>
  <si>
    <t>Kamal Thapa</t>
  </si>
  <si>
    <t>Tshering Thinley Lama</t>
  </si>
  <si>
    <t>Ashwin Chalise</t>
  </si>
  <si>
    <t>Urgyan Lama</t>
  </si>
  <si>
    <t>Sonam Lama</t>
  </si>
  <si>
    <t>Suraj Khadgi</t>
  </si>
  <si>
    <t>Bijay Lama</t>
  </si>
  <si>
    <t>Times Club</t>
  </si>
  <si>
    <t>Times.png</t>
  </si>
  <si>
    <t>SF</t>
  </si>
  <si>
    <t>G</t>
  </si>
  <si>
    <t>29/04/2008</t>
  </si>
  <si>
    <t>28/11/2001</t>
  </si>
  <si>
    <t>17/10/2008</t>
  </si>
  <si>
    <t>14/03/1998</t>
  </si>
  <si>
    <t>18/07/1995</t>
  </si>
  <si>
    <t>6'2"</t>
  </si>
  <si>
    <t>6'1"</t>
  </si>
  <si>
    <t>6'3"</t>
  </si>
  <si>
    <t>5'8"</t>
  </si>
  <si>
    <t>5'1"</t>
  </si>
  <si>
    <t>5'7"</t>
  </si>
  <si>
    <t>Kushal Shakya</t>
  </si>
  <si>
    <t>Sushil Gurung</t>
  </si>
  <si>
    <t>Coach</t>
  </si>
  <si>
    <t>Mabindra Bhandari</t>
  </si>
  <si>
    <t>07/05/1996</t>
  </si>
  <si>
    <t>Pranaya Man Shrestha</t>
  </si>
  <si>
    <t>6'6"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</si>
</sst>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CCCCCC"/>
      </top>
      <bottom style="medium">
        <color rgb="FFEAEAEA"/>
      </bottom>
      <diagonal/>
    </border>
    <border>
      <left style="medium">
        <color rgb="FFEAEAEA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4" fontId="3" fillId="2" borderId="1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right" wrapText="1"/>
    </xf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0" fillId="0" borderId="0" xfId="0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D9" sqref="D9"/>
    </sheetView>
  </sheetViews>
  <sheetFormatPr defaultRowHeight="14.25"/>
  <cols>
    <col min="2" max="2" width="20.75" bestFit="1" customWidth="1"/>
    <col min="3" max="3" width="9.75" bestFit="1" customWidth="1"/>
    <col min="4" max="4" width="14.875" bestFit="1" customWidth="1"/>
    <col min="5" max="5" width="13.5" customWidth="1"/>
    <col min="6" max="6" width="9.75" customWidth="1"/>
    <col min="7" max="7" width="16.375" customWidth="1"/>
    <col min="8" max="8" width="15.875" bestFit="1" customWidth="1"/>
    <col min="9" max="9" width="7" bestFit="1" customWidth="1"/>
    <col min="10" max="10" width="13" customWidth="1"/>
  </cols>
  <sheetData>
    <row r="1" spans="1:10" ht="16.5" thickBot="1">
      <c r="A1" s="3" t="s">
        <v>12</v>
      </c>
      <c r="B1" s="4" t="s">
        <v>0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</v>
      </c>
      <c r="H1" s="3" t="s">
        <v>2</v>
      </c>
      <c r="I1" s="4" t="s">
        <v>3</v>
      </c>
      <c r="J1" s="4" t="s">
        <v>7</v>
      </c>
    </row>
    <row r="2" spans="1:10" ht="15.75" thickBot="1">
      <c r="A2" s="5">
        <v>3</v>
      </c>
      <c r="B2" s="10" t="s">
        <v>24</v>
      </c>
      <c r="C2" s="6" t="str">
        <f>LEFT(B2,SEARCH(" ",B2)-1)</f>
        <v>Suraj</v>
      </c>
      <c r="D2" s="6" t="str">
        <f>RIGHT(B2,LEN(B2)-SEARCH(" ",B2))</f>
        <v>Khadgi</v>
      </c>
      <c r="E2" s="6" t="s">
        <v>26</v>
      </c>
      <c r="F2" s="6" t="s">
        <v>27</v>
      </c>
      <c r="G2" s="5" t="s">
        <v>4</v>
      </c>
      <c r="H2" s="1" t="s">
        <v>33</v>
      </c>
      <c r="I2" s="9" t="s">
        <v>39</v>
      </c>
      <c r="J2" s="7" t="str">
        <f>A2&amp;".png"</f>
        <v>3.png</v>
      </c>
    </row>
    <row r="3" spans="1:10" ht="15.75" thickBot="1">
      <c r="A3" s="5">
        <v>4</v>
      </c>
      <c r="B3" s="10" t="s">
        <v>15</v>
      </c>
      <c r="C3" s="6" t="str">
        <f t="shared" ref="C3:C14" si="0">LEFT(B3,SEARCH(" ",B3)-1)</f>
        <v>Sadhish</v>
      </c>
      <c r="D3" s="6" t="str">
        <f t="shared" ref="D3:D14" si="1">RIGHT(B3,LEN(B3)-SEARCH(" ",B3))</f>
        <v>Pradhan</v>
      </c>
      <c r="E3" s="6" t="s">
        <v>26</v>
      </c>
      <c r="F3" s="6" t="s">
        <v>27</v>
      </c>
      <c r="G3" s="5" t="s">
        <v>4</v>
      </c>
      <c r="H3" s="8">
        <v>31418</v>
      </c>
      <c r="I3" s="9" t="s">
        <v>14</v>
      </c>
      <c r="J3" s="7" t="str">
        <f t="shared" ref="J3:J13" si="2">A3&amp;".png"</f>
        <v>4.png</v>
      </c>
    </row>
    <row r="4" spans="1:10" ht="15.75" thickBot="1">
      <c r="A4" s="5">
        <v>13</v>
      </c>
      <c r="B4" s="10" t="s">
        <v>16</v>
      </c>
      <c r="C4" s="6" t="str">
        <f t="shared" si="0"/>
        <v>Manish</v>
      </c>
      <c r="D4" s="6" t="str">
        <f t="shared" si="1"/>
        <v>K.C</v>
      </c>
      <c r="E4" s="6" t="s">
        <v>26</v>
      </c>
      <c r="F4" s="6" t="s">
        <v>27</v>
      </c>
      <c r="G4" s="5" t="s">
        <v>6</v>
      </c>
      <c r="H4" s="8">
        <v>36169</v>
      </c>
      <c r="I4" s="9" t="s">
        <v>36</v>
      </c>
      <c r="J4" s="7" t="str">
        <f t="shared" si="2"/>
        <v>13.png</v>
      </c>
    </row>
    <row r="5" spans="1:10" ht="15.75" thickBot="1">
      <c r="A5" s="5">
        <v>35</v>
      </c>
      <c r="B5" s="10" t="s">
        <v>18</v>
      </c>
      <c r="C5" s="6" t="str">
        <f>LEFT(B5,SEARCH(" ",B5)-1)</f>
        <v>Pemba</v>
      </c>
      <c r="D5" s="6" t="str">
        <f>RIGHT(B5,LEN(B5)-SEARCH(" ",B5))</f>
        <v>Sherpa</v>
      </c>
      <c r="E5" s="6" t="s">
        <v>26</v>
      </c>
      <c r="F5" s="6" t="s">
        <v>27</v>
      </c>
      <c r="G5" s="5" t="s">
        <v>4</v>
      </c>
      <c r="H5" s="8">
        <v>37386</v>
      </c>
      <c r="I5" s="9" t="s">
        <v>14</v>
      </c>
      <c r="J5" s="7" t="str">
        <f>A5&amp;".png"</f>
        <v>35.png</v>
      </c>
    </row>
    <row r="6" spans="1:10" ht="30.75" thickBot="1">
      <c r="A6" s="5">
        <v>60</v>
      </c>
      <c r="B6" s="10" t="s">
        <v>17</v>
      </c>
      <c r="C6" s="6" t="str">
        <f>LEFT(B6,SEARCH(" ",B6)-1)</f>
        <v>Shreyas</v>
      </c>
      <c r="D6" s="6" t="str">
        <f>RIGHT(B6,LEN(B6)-SEARCH(" ",B6))</f>
        <v>Bahadur Shah</v>
      </c>
      <c r="E6" s="6" t="s">
        <v>26</v>
      </c>
      <c r="F6" s="6" t="s">
        <v>27</v>
      </c>
      <c r="G6" s="5" t="s">
        <v>6</v>
      </c>
      <c r="H6" s="8">
        <v>37173</v>
      </c>
      <c r="I6" s="9" t="s">
        <v>35</v>
      </c>
      <c r="J6" s="7" t="str">
        <f>A6&amp;".png"</f>
        <v>60.png</v>
      </c>
    </row>
    <row r="7" spans="1:10" ht="15.75" thickBot="1">
      <c r="A7" s="5">
        <v>12</v>
      </c>
      <c r="B7" s="10" t="s">
        <v>19</v>
      </c>
      <c r="C7" s="6" t="str">
        <f t="shared" si="0"/>
        <v>Kamal</v>
      </c>
      <c r="D7" s="6" t="str">
        <f t="shared" si="1"/>
        <v>Thapa</v>
      </c>
      <c r="E7" s="6" t="s">
        <v>26</v>
      </c>
      <c r="F7" s="6" t="s">
        <v>27</v>
      </c>
      <c r="G7" s="5" t="s">
        <v>28</v>
      </c>
      <c r="H7" s="2" t="s">
        <v>31</v>
      </c>
      <c r="I7" s="9" t="s">
        <v>14</v>
      </c>
      <c r="J7" s="7" t="str">
        <f t="shared" si="2"/>
        <v>12.png</v>
      </c>
    </row>
    <row r="8" spans="1:10" ht="15.75" thickBot="1">
      <c r="A8" s="5">
        <v>2</v>
      </c>
      <c r="B8" s="10" t="s">
        <v>25</v>
      </c>
      <c r="C8" s="6" t="str">
        <f t="shared" si="0"/>
        <v>Bijay</v>
      </c>
      <c r="D8" s="6" t="str">
        <f t="shared" si="1"/>
        <v>Lama</v>
      </c>
      <c r="E8" s="6" t="s">
        <v>26</v>
      </c>
      <c r="F8" s="6" t="s">
        <v>27</v>
      </c>
      <c r="G8" s="5" t="s">
        <v>13</v>
      </c>
      <c r="H8" s="1" t="s">
        <v>34</v>
      </c>
      <c r="I8" s="9" t="s">
        <v>40</v>
      </c>
      <c r="J8" s="7" t="str">
        <f t="shared" si="2"/>
        <v>2.png</v>
      </c>
    </row>
    <row r="9" spans="1:10" ht="15.75" thickBot="1">
      <c r="A9" s="5">
        <v>5</v>
      </c>
      <c r="B9" s="10" t="s">
        <v>23</v>
      </c>
      <c r="C9" s="6" t="str">
        <f t="shared" si="0"/>
        <v>Sonam</v>
      </c>
      <c r="D9" s="6" t="str">
        <f t="shared" si="1"/>
        <v>Lama</v>
      </c>
      <c r="E9" s="6" t="s">
        <v>26</v>
      </c>
      <c r="F9" s="6" t="s">
        <v>27</v>
      </c>
      <c r="G9" s="5" t="s">
        <v>29</v>
      </c>
      <c r="H9" s="8">
        <v>39298</v>
      </c>
      <c r="I9" s="9" t="s">
        <v>38</v>
      </c>
      <c r="J9" s="7" t="str">
        <f t="shared" si="2"/>
        <v>5.png</v>
      </c>
    </row>
    <row r="10" spans="1:10" ht="30.75" thickBot="1">
      <c r="A10" s="5">
        <v>7</v>
      </c>
      <c r="B10" s="10" t="s">
        <v>20</v>
      </c>
      <c r="C10" s="6" t="str">
        <f t="shared" si="0"/>
        <v>Tshering</v>
      </c>
      <c r="D10" s="6" t="str">
        <f t="shared" si="1"/>
        <v>Thinley Lama</v>
      </c>
      <c r="E10" s="6" t="s">
        <v>26</v>
      </c>
      <c r="F10" s="6" t="s">
        <v>27</v>
      </c>
      <c r="G10" s="5" t="s">
        <v>13</v>
      </c>
      <c r="H10" s="8">
        <v>37294</v>
      </c>
      <c r="I10" s="9" t="s">
        <v>14</v>
      </c>
      <c r="J10" s="7" t="str">
        <f t="shared" si="2"/>
        <v>7.png</v>
      </c>
    </row>
    <row r="11" spans="1:10" ht="15.75" thickBot="1">
      <c r="A11" s="5">
        <v>17</v>
      </c>
      <c r="B11" s="10" t="s">
        <v>21</v>
      </c>
      <c r="C11" s="6" t="str">
        <f t="shared" si="0"/>
        <v>Ashwin</v>
      </c>
      <c r="D11" s="6" t="str">
        <f t="shared" si="1"/>
        <v>Chalise</v>
      </c>
      <c r="E11" s="6" t="s">
        <v>26</v>
      </c>
      <c r="F11" s="6" t="s">
        <v>27</v>
      </c>
      <c r="G11" s="5" t="s">
        <v>28</v>
      </c>
      <c r="H11" s="1" t="s">
        <v>32</v>
      </c>
      <c r="I11" s="9" t="s">
        <v>37</v>
      </c>
      <c r="J11" s="7" t="str">
        <f t="shared" si="2"/>
        <v>17.png</v>
      </c>
    </row>
    <row r="12" spans="1:10" ht="15.75" thickBot="1">
      <c r="A12" s="5">
        <v>31</v>
      </c>
      <c r="B12" s="10" t="s">
        <v>22</v>
      </c>
      <c r="C12" s="6" t="str">
        <f t="shared" si="0"/>
        <v>Urgyan</v>
      </c>
      <c r="D12" s="6" t="str">
        <f t="shared" si="1"/>
        <v>Lama</v>
      </c>
      <c r="E12" s="6" t="s">
        <v>26</v>
      </c>
      <c r="F12" s="6" t="s">
        <v>27</v>
      </c>
      <c r="G12" s="5" t="s">
        <v>29</v>
      </c>
      <c r="H12" s="8">
        <v>39571</v>
      </c>
      <c r="I12" s="9" t="s">
        <v>36</v>
      </c>
      <c r="J12" s="7" t="str">
        <f t="shared" si="2"/>
        <v>31.png</v>
      </c>
    </row>
    <row r="13" spans="1:10" ht="15">
      <c r="A13">
        <v>1</v>
      </c>
      <c r="B13" s="10" t="s">
        <v>41</v>
      </c>
      <c r="C13" s="6" t="str">
        <f t="shared" si="0"/>
        <v>Kushal</v>
      </c>
      <c r="D13" s="6" t="str">
        <f t="shared" si="1"/>
        <v>Shakya</v>
      </c>
      <c r="E13" s="6" t="s">
        <v>26</v>
      </c>
      <c r="F13" s="6" t="s">
        <v>27</v>
      </c>
      <c r="G13" s="5" t="s">
        <v>29</v>
      </c>
      <c r="J13" s="7" t="str">
        <f t="shared" si="2"/>
        <v>1.png</v>
      </c>
    </row>
    <row r="14" spans="1:10" ht="15">
      <c r="A14" t="s">
        <v>43</v>
      </c>
      <c r="B14" s="10" t="s">
        <v>42</v>
      </c>
      <c r="C14" s="6" t="str">
        <f t="shared" si="0"/>
        <v>Sushil</v>
      </c>
      <c r="D14" s="6" t="str">
        <f t="shared" si="1"/>
        <v>Gurung</v>
      </c>
      <c r="E14" s="6" t="s">
        <v>26</v>
      </c>
      <c r="F14" s="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>
      <selection activeCell="B2" sqref="B2"/>
    </sheetView>
  </sheetViews>
  <sheetFormatPr defaultRowHeight="14.25"/>
  <cols>
    <col min="1" max="1" width="7.5" bestFit="1" customWidth="1"/>
    <col min="2" max="2" width="14.125" bestFit="1" customWidth="1"/>
    <col min="3" max="3" width="11.375" bestFit="1" customWidth="1"/>
    <col min="4" max="4" width="11.25" bestFit="1" customWidth="1"/>
    <col min="5" max="5" width="11" bestFit="1" customWidth="1"/>
    <col min="6" max="6" width="11.875" bestFit="1" customWidth="1"/>
    <col min="8" max="8" width="11.125" bestFit="1" customWidth="1"/>
    <col min="9" max="9" width="7.375" bestFit="1" customWidth="1"/>
    <col min="10" max="10" width="7.875" bestFit="1" customWidth="1"/>
  </cols>
  <sheetData>
    <row r="1" spans="1:21" s="12" customFormat="1" ht="15.75">
      <c r="A1" s="3" t="s">
        <v>12</v>
      </c>
      <c r="B1" s="11" t="s">
        <v>0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</v>
      </c>
      <c r="H1" s="3" t="s">
        <v>2</v>
      </c>
      <c r="I1" s="11" t="s">
        <v>3</v>
      </c>
      <c r="J1" s="11" t="s">
        <v>7</v>
      </c>
    </row>
    <row r="2" spans="1:21" s="12" customFormat="1" ht="15.75">
      <c r="A2" s="15">
        <v>10</v>
      </c>
      <c r="B2" s="16" t="s">
        <v>44</v>
      </c>
      <c r="C2" s="6" t="str">
        <f t="shared" ref="C2:C3" si="0">LEFT(B2,SEARCH(" ",B2)-1)</f>
        <v>Mabindra</v>
      </c>
      <c r="D2" s="6" t="str">
        <f t="shared" ref="D2:D3" si="1">RIGHT(B2,LEN(B2)-SEARCH(" ",B2))</f>
        <v>Bhandari</v>
      </c>
      <c r="E2" s="6" t="s">
        <v>26</v>
      </c>
      <c r="F2" s="6" t="s">
        <v>27</v>
      </c>
      <c r="G2" s="13" t="s">
        <v>6</v>
      </c>
      <c r="H2" s="15" t="s">
        <v>45</v>
      </c>
      <c r="I2" s="20" t="s">
        <v>35</v>
      </c>
      <c r="J2" s="14" t="str">
        <f t="shared" ref="J2:J3" si="2">A2&amp;".png"</f>
        <v>10.png</v>
      </c>
    </row>
    <row r="3" spans="1:21" s="12" customFormat="1" ht="15.75">
      <c r="A3" s="15">
        <v>24</v>
      </c>
      <c r="B3" s="16" t="s">
        <v>46</v>
      </c>
      <c r="C3" s="6" t="str">
        <f t="shared" si="0"/>
        <v>Pranaya</v>
      </c>
      <c r="D3" s="6" t="str">
        <f t="shared" si="1"/>
        <v>Man Shrestha</v>
      </c>
      <c r="E3" s="6" t="s">
        <v>26</v>
      </c>
      <c r="F3" s="6" t="s">
        <v>27</v>
      </c>
      <c r="G3" s="13" t="s">
        <v>5</v>
      </c>
      <c r="H3" s="15" t="s">
        <v>30</v>
      </c>
      <c r="I3" s="20" t="s">
        <v>47</v>
      </c>
      <c r="J3" s="14" t="str">
        <f t="shared" si="2"/>
        <v>24.png</v>
      </c>
    </row>
    <row r="4" spans="1:21" s="12" customFormat="1"/>
    <row r="5" spans="1:21" s="12" customFormat="1"/>
    <row r="6" spans="1:21" s="12" customFormat="1"/>
    <row r="7" spans="1:21" s="12" customFormat="1"/>
    <row r="8" spans="1:21" s="12" customFormat="1" ht="15.75">
      <c r="M8" s="15"/>
      <c r="N8" s="16"/>
      <c r="O8" s="15"/>
      <c r="P8" s="15"/>
      <c r="Q8" s="15"/>
      <c r="R8" s="15"/>
      <c r="S8" s="15"/>
      <c r="T8" s="17"/>
      <c r="U8" s="18"/>
    </row>
    <row r="9" spans="1:21" s="12" customFormat="1" ht="15.75">
      <c r="M9" s="15"/>
      <c r="N9" s="16"/>
      <c r="O9" s="15"/>
      <c r="P9" s="15"/>
      <c r="Q9" s="15"/>
      <c r="R9" s="15"/>
      <c r="S9" s="15"/>
      <c r="T9" s="17"/>
      <c r="U9" s="19"/>
    </row>
    <row r="10" spans="1:21" s="12" customFormat="1"/>
    <row r="11" spans="1:21" s="12" customFormat="1"/>
    <row r="12" spans="1:21" s="12" customFormat="1"/>
    <row r="13" spans="1:21" s="12" customFormat="1"/>
    <row r="14" spans="1:21" s="12" customFormat="1"/>
    <row r="15" spans="1:21" s="12" customFormat="1"/>
    <row r="16" spans="1:21" s="12" customFormat="1"/>
    <row r="17" s="12" customFormat="1"/>
    <row r="18" s="12" customFormat="1"/>
    <row r="19" s="12" customFormat="1"/>
    <row r="20" s="12" customFormat="1"/>
    <row r="21" s="12" customFormat="1"/>
    <row r="22" s="1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2026-03-17T12:21:26Z</dcterms:modified>
</cp:coreProperties>
</file>